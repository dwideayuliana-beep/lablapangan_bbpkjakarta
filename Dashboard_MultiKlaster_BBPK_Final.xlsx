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Klaster" sheetId="1" r:id="rId1"/>
    <sheet name="Lists" sheetId="2" r:id="rId2"/>
    <sheet name="Dashboard_Interaktif" sheetId="3" r:id="rId3"/>
    <sheet name="Rekap_Tim" sheetId="4" r:id="rId4"/>
  </sheets>
  <definedNames>
    <definedName name="KlasterList">Lists!$A$1:$E$1</definedName>
    <definedName name="List_Klaster1">Lists!$A$2:$A$15</definedName>
    <definedName name="List_Klaster2">Lists!$B$2:$B$15</definedName>
    <definedName name="List_Klaster3">Lists!$C$2:$C$15</definedName>
    <definedName name="List_Klaster4">Lists!$D$2:$D$15</definedName>
    <definedName name="List_LintasKlaster">Lists!$E$2:$E$15</definedName>
  </definedNames>
  <calcPr calcId="124519" fullCalcOnLoad="1"/>
</workbook>
</file>

<file path=xl/sharedStrings.xml><?xml version="1.0" encoding="utf-8"?>
<sst xmlns="http://schemas.openxmlformats.org/spreadsheetml/2006/main" count="559" uniqueCount="54">
  <si>
    <t>Klaster</t>
  </si>
  <si>
    <t>Nama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</si>
  <si>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</si>
  <si>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</si>
  <si>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</si>
  <si>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</si>
  <si>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</si>
  <si>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</si>
  <si>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</si>
  <si>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</si>
  <si>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</si>
  <si>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</si>
  <si>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</si>
  <si>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</si>
  <si>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</si>
  <si>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</si>
  <si>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</si>
  <si>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Rata2</t>
  </si>
  <si>
    <t>Kategori</t>
  </si>
  <si>
    <t>Klaster1</t>
  </si>
  <si>
    <t>Klaster2</t>
  </si>
  <si>
    <t>Klaster3</t>
  </si>
  <si>
    <t>Klaster4</t>
  </si>
  <si>
    <t>LintasKlaster</t>
  </si>
  <si>
    <t>Riris Sakinah, M.K.M.</t>
  </si>
  <si>
    <t>Widiawati Walangadi,SKM,MSi</t>
  </si>
  <si>
    <t>Erna Rosmanindar, S.Pd., M.K.M.</t>
  </si>
  <si>
    <t>Dr. Dhanita Amir,M.Kes</t>
  </si>
  <si>
    <t>dr Fathonah mkm</t>
  </si>
  <si>
    <t>Dhea Adinda Purnomo, S.Pd</t>
  </si>
  <si>
    <t>Sela Fasya, S.Tr.Keb., MKM</t>
  </si>
  <si>
    <t>dr. Lia Meiliyana, MKM</t>
  </si>
  <si>
    <t>Zulfaa Nurin Nuhaa, S.K.M., MPH</t>
  </si>
  <si>
    <t>Swasti Setyorini</t>
  </si>
  <si>
    <t>Sri Hartanti, SIKom,MIKom</t>
  </si>
  <si>
    <t>dr. Indah Karyani, MPH</t>
  </si>
  <si>
    <t>Heniwati</t>
  </si>
  <si>
    <t>dr. Dwidea Yuliana, M.Kes</t>
  </si>
  <si>
    <t>Belum/Akan Berkembang</t>
  </si>
  <si>
    <t>Sedang Berkembang</t>
  </si>
  <si>
    <t>Sudah/Sangat Optimal</t>
  </si>
  <si>
    <t>DASHBOARD CAPAIAN KOMPETENSI BBPK JAKARTA</t>
  </si>
  <si>
    <t>Pilih Klaster:</t>
  </si>
  <si>
    <t>Pilih Nama Individu:</t>
  </si>
  <si>
    <t>Kompetensi</t>
  </si>
  <si>
    <t>Nilai</t>
  </si>
  <si>
    <t>Target</t>
  </si>
  <si>
    <t>Gap</t>
  </si>
  <si>
    <t>Level</t>
  </si>
  <si>
    <t>Rata-rata Kompetensi:</t>
  </si>
  <si>
    <t>Kategori Kompetensi:</t>
  </si>
  <si>
    <t>Kategori Count per Klaster</t>
  </si>
  <si>
    <t>Kategori Distribution</t>
  </si>
  <si>
    <t>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</si>
</sst>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4B8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Radar Kompetensi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Dashboard_Interaktif!$B$3</c:f>
              <c:strCache>
                <c:ptCount val="1"/>
              </c:strCache>
            </c:strRef>
          </c:tx>
          <c:cat>
            <c:strRef>
              <c:f>Dashboard_Interaktif!$A$6:$A$20</c:f>
              <c:strCache>
                <c:ptCount val="1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</c:strCache>
            </c:strRef>
          </c:cat>
          <c:val>
            <c:numRef>
              <c:f>Dashboard_Interaktif!$B$6:$B$20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axId val="50010001"/>
        <c:axId val="50010002"/>
      </c:radarChart>
      <c:catAx>
        <c:axId val="50010001"/>
        <c:scaling>
          <c:orientation val="minMax"/>
        </c:scaling>
        <c:axPos val="b"/>
        <c:majorGridlines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Rata-rata Kompetensi (contoh 1-14)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Rata2 per Individu</c:v>
          </c:tx>
          <c:cat>
            <c:strRef>
              <c:f>Rekap_Tim!$B$2:$B$15</c:f>
              <c:strCache>
                <c:ptCount val="14"/>
                <c:pt idx="0">
                  <c:v>Riris Sakinah, M.K.M.</c:v>
                </c:pt>
                <c:pt idx="1">
                  <c:v>Widiawati Walangadi,SKM,MSi</c:v>
                </c:pt>
                <c:pt idx="2">
                  <c:v>Erna Rosmanindar, S.Pd., M.K.M.</c:v>
                </c:pt>
                <c:pt idx="3">
                  <c:v>Dr. Dhanita Amir,M.Kes</c:v>
                </c:pt>
                <c:pt idx="4">
                  <c:v>dr Fathonah mkm</c:v>
                </c:pt>
                <c:pt idx="5">
                  <c:v>Dhea Adinda Purnomo, S.Pd</c:v>
                </c:pt>
                <c:pt idx="6">
                  <c:v>Sela Fasya, S.Tr.Keb., MKM</c:v>
                </c:pt>
                <c:pt idx="7">
                  <c:v>dr. Lia Meiliyana, MKM</c:v>
                </c:pt>
                <c:pt idx="8">
                  <c:v>Zulfaa Nurin Nuhaa, S.K.M., MPH</c:v>
                </c:pt>
                <c:pt idx="9">
                  <c:v>Swasti Setyorini</c:v>
                </c:pt>
                <c:pt idx="10">
                  <c:v>Sri Hartanti, SIKom,MIKom</c:v>
                </c:pt>
                <c:pt idx="11">
                  <c:v>dr. Indah Karyani, MPH</c:v>
                </c:pt>
                <c:pt idx="12">
                  <c:v>Heniwati</c:v>
                </c:pt>
                <c:pt idx="13">
                  <c:v>dr. Dwidea Yuliana, M.Kes</c:v>
                </c:pt>
              </c:strCache>
            </c:strRef>
          </c:cat>
          <c:val>
            <c:numRef>
              <c:f>Rekap_Tim!$C$2:$C$15</c:f>
              <c:numCache>
                <c:formatCode>General</c:formatCode>
                <c:ptCount val="14"/>
                <c:pt idx="0">
                  <c:v>2.4</c:v>
                </c:pt>
                <c:pt idx="1">
                  <c:v>3</c:v>
                </c:pt>
                <c:pt idx="2">
                  <c:v>2</c:v>
                </c:pt>
                <c:pt idx="3">
                  <c:v>4.73</c:v>
                </c:pt>
                <c:pt idx="4">
                  <c:v>4.73</c:v>
                </c:pt>
                <c:pt idx="5">
                  <c:v>1.8</c:v>
                </c:pt>
                <c:pt idx="6">
                  <c:v>2.2</c:v>
                </c:pt>
                <c:pt idx="7">
                  <c:v>3.67</c:v>
                </c:pt>
                <c:pt idx="8">
                  <c:v>2.27</c:v>
                </c:pt>
                <c:pt idx="9">
                  <c:v>1.73</c:v>
                </c:pt>
                <c:pt idx="10">
                  <c:v>1.4</c:v>
                </c:pt>
                <c:pt idx="11">
                  <c:v>3</c:v>
                </c:pt>
                <c:pt idx="12">
                  <c:v>2</c:v>
                </c:pt>
                <c:pt idx="13">
                  <c:v>3.47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Distribusi Kategori Kompetensi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Distribusi Kategori</c:v>
          </c:tx>
          <c:cat>
            <c:strRef>
              <c:f>Rekap_Tim!$G$27:$G$29</c:f>
              <c:strCache>
                <c:ptCount val="3"/>
                <c:pt idx="0">
                  <c:v>Kategori</c:v>
                </c:pt>
                <c:pt idx="1">
                  <c:v>Belum/Akan Berkembang</c:v>
                </c:pt>
                <c:pt idx="2">
                  <c:v>Sedang Berkembang</c:v>
                </c:pt>
              </c:strCache>
            </c:strRef>
          </c:cat>
          <c:val>
            <c:numRef>
              <c:f>Rekap_Tim!$H$27:$H$29</c:f>
              <c:numCache>
                <c:formatCode>General</c:formatCode>
                <c:ptCount val="3"/>
                <c:pt idx="0">
                  <c:v>0</c:v>
                </c:pt>
                <c:pt idx="1">
                  <c:v>45</c:v>
                </c:pt>
                <c:pt idx="2">
                  <c:v>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18</xdr:col>
      <xdr:colOff>457200</xdr:colOff>
      <xdr:row>22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19</xdr:row>
      <xdr:rowOff>0</xdr:rowOff>
    </xdr:from>
    <xdr:to>
      <xdr:col>14</xdr:col>
      <xdr:colOff>0</xdr:colOff>
      <xdr:row>33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2</xdr:col>
      <xdr:colOff>933450</xdr:colOff>
      <xdr:row>34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3</v>
      </c>
      <c r="K2">
        <v>2</v>
      </c>
      <c r="L2">
        <v>2</v>
      </c>
      <c r="M2">
        <v>3</v>
      </c>
      <c r="N2">
        <v>3</v>
      </c>
      <c r="O2">
        <v>3</v>
      </c>
      <c r="P2">
        <v>3</v>
      </c>
      <c r="Q2">
        <v>3</v>
      </c>
      <c r="R2">
        <v>2.4</v>
      </c>
      <c r="S2" t="s">
        <v>38</v>
      </c>
    </row>
    <row r="3" spans="1:19">
      <c r="A3" t="s">
        <v>19</v>
      </c>
      <c r="B3" t="s">
        <v>25</v>
      </c>
      <c r="C3">
        <v>3</v>
      </c>
      <c r="D3">
        <v>3</v>
      </c>
      <c r="E3">
        <v>3</v>
      </c>
      <c r="F3">
        <v>3</v>
      </c>
      <c r="G3">
        <v>2</v>
      </c>
      <c r="H3">
        <v>2</v>
      </c>
      <c r="I3">
        <v>3</v>
      </c>
      <c r="J3">
        <v>3</v>
      </c>
      <c r="K3">
        <v>3</v>
      </c>
      <c r="L3">
        <v>2</v>
      </c>
      <c r="M3">
        <v>3</v>
      </c>
      <c r="N3">
        <v>4</v>
      </c>
      <c r="O3">
        <v>3</v>
      </c>
      <c r="P3">
        <v>4</v>
      </c>
      <c r="Q3">
        <v>4</v>
      </c>
      <c r="R3">
        <v>3</v>
      </c>
      <c r="S3" t="s">
        <v>39</v>
      </c>
    </row>
    <row r="4" spans="1:19">
      <c r="A4" t="s">
        <v>19</v>
      </c>
      <c r="B4" t="s">
        <v>26</v>
      </c>
      <c r="C4">
        <v>1</v>
      </c>
      <c r="D4">
        <v>1</v>
      </c>
      <c r="E4">
        <v>1</v>
      </c>
      <c r="F4">
        <v>3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4</v>
      </c>
      <c r="N4">
        <v>4</v>
      </c>
      <c r="O4">
        <v>3</v>
      </c>
      <c r="P4">
        <v>3</v>
      </c>
      <c r="Q4">
        <v>4</v>
      </c>
      <c r="R4">
        <v>2</v>
      </c>
      <c r="S4" t="s">
        <v>38</v>
      </c>
    </row>
    <row r="5" spans="1:19">
      <c r="A5" t="s">
        <v>19</v>
      </c>
      <c r="B5" t="s">
        <v>27</v>
      </c>
      <c r="C5">
        <v>5</v>
      </c>
      <c r="D5">
        <v>4</v>
      </c>
      <c r="E5">
        <v>5</v>
      </c>
      <c r="F5">
        <v>5</v>
      </c>
      <c r="G5">
        <v>5</v>
      </c>
      <c r="H5">
        <v>4</v>
      </c>
      <c r="I5">
        <v>5</v>
      </c>
      <c r="J5">
        <v>4</v>
      </c>
      <c r="K5">
        <v>5</v>
      </c>
      <c r="L5">
        <v>5</v>
      </c>
      <c r="M5">
        <v>5</v>
      </c>
      <c r="N5">
        <v>5</v>
      </c>
      <c r="O5">
        <v>4</v>
      </c>
      <c r="P5">
        <v>5</v>
      </c>
      <c r="Q5">
        <v>5</v>
      </c>
      <c r="R5">
        <v>4.733333333333333</v>
      </c>
      <c r="S5" t="s">
        <v>40</v>
      </c>
    </row>
    <row r="6" spans="1:19">
      <c r="A6" t="s">
        <v>19</v>
      </c>
      <c r="B6" t="s">
        <v>28</v>
      </c>
      <c r="C6">
        <v>5</v>
      </c>
      <c r="D6">
        <v>5</v>
      </c>
      <c r="E6">
        <v>4</v>
      </c>
      <c r="F6">
        <v>5</v>
      </c>
      <c r="G6">
        <v>4</v>
      </c>
      <c r="H6">
        <v>5</v>
      </c>
      <c r="I6">
        <v>5</v>
      </c>
      <c r="J6">
        <v>5</v>
      </c>
      <c r="K6">
        <v>5</v>
      </c>
      <c r="L6">
        <v>4</v>
      </c>
      <c r="M6">
        <v>4</v>
      </c>
      <c r="N6">
        <v>5</v>
      </c>
      <c r="O6">
        <v>5</v>
      </c>
      <c r="P6">
        <v>5</v>
      </c>
      <c r="Q6">
        <v>5</v>
      </c>
      <c r="R6">
        <v>4.733333333333333</v>
      </c>
      <c r="S6" t="s">
        <v>40</v>
      </c>
    </row>
    <row r="7" spans="1:19">
      <c r="A7" t="s">
        <v>19</v>
      </c>
      <c r="B7" t="s">
        <v>29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</v>
      </c>
      <c r="K7">
        <v>1</v>
      </c>
      <c r="L7">
        <v>1</v>
      </c>
      <c r="M7">
        <v>4</v>
      </c>
      <c r="N7">
        <v>4</v>
      </c>
      <c r="O7">
        <v>1</v>
      </c>
      <c r="P7">
        <v>3</v>
      </c>
      <c r="Q7">
        <v>3</v>
      </c>
      <c r="R7">
        <v>1.8</v>
      </c>
      <c r="S7" t="s">
        <v>38</v>
      </c>
    </row>
    <row r="8" spans="1:19">
      <c r="A8" t="s">
        <v>19</v>
      </c>
      <c r="B8" t="s">
        <v>30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2</v>
      </c>
      <c r="J8">
        <v>2</v>
      </c>
      <c r="K8">
        <v>2</v>
      </c>
      <c r="L8">
        <v>2</v>
      </c>
      <c r="M8">
        <v>4</v>
      </c>
      <c r="N8">
        <v>4</v>
      </c>
      <c r="O8">
        <v>3</v>
      </c>
      <c r="P8">
        <v>4</v>
      </c>
      <c r="Q8">
        <v>4</v>
      </c>
      <c r="R8">
        <v>2.2</v>
      </c>
      <c r="S8" t="s">
        <v>38</v>
      </c>
    </row>
    <row r="9" spans="1:19">
      <c r="A9" t="s">
        <v>19</v>
      </c>
      <c r="B9" t="s">
        <v>31</v>
      </c>
      <c r="C9">
        <v>4</v>
      </c>
      <c r="D9">
        <v>3</v>
      </c>
      <c r="E9">
        <v>3</v>
      </c>
      <c r="F9">
        <v>4</v>
      </c>
      <c r="G9">
        <v>3</v>
      </c>
      <c r="H9">
        <v>4</v>
      </c>
      <c r="I9">
        <v>3</v>
      </c>
      <c r="J9">
        <v>3</v>
      </c>
      <c r="K9">
        <v>2</v>
      </c>
      <c r="L9">
        <v>3</v>
      </c>
      <c r="M9">
        <v>4</v>
      </c>
      <c r="N9">
        <v>5</v>
      </c>
      <c r="O9">
        <v>4</v>
      </c>
      <c r="P9">
        <v>5</v>
      </c>
      <c r="Q9">
        <v>5</v>
      </c>
      <c r="R9">
        <v>3.666666666666667</v>
      </c>
      <c r="S9" t="s">
        <v>39</v>
      </c>
    </row>
    <row r="10" spans="1:19">
      <c r="A10" t="s">
        <v>19</v>
      </c>
      <c r="B10" t="s">
        <v>32</v>
      </c>
      <c r="C10">
        <v>2</v>
      </c>
      <c r="D10">
        <v>1</v>
      </c>
      <c r="E10">
        <v>2</v>
      </c>
      <c r="F10">
        <v>3</v>
      </c>
      <c r="G10">
        <v>1</v>
      </c>
      <c r="H10">
        <v>2</v>
      </c>
      <c r="I10">
        <v>3</v>
      </c>
      <c r="J10">
        <v>2</v>
      </c>
      <c r="K10">
        <v>2</v>
      </c>
      <c r="L10">
        <v>1</v>
      </c>
      <c r="M10">
        <v>3</v>
      </c>
      <c r="N10">
        <v>3</v>
      </c>
      <c r="O10">
        <v>3</v>
      </c>
      <c r="P10">
        <v>3</v>
      </c>
      <c r="Q10">
        <v>3</v>
      </c>
      <c r="R10">
        <v>2.266666666666667</v>
      </c>
      <c r="S10" t="s">
        <v>38</v>
      </c>
    </row>
    <row r="11" spans="1:19">
      <c r="A11" t="s">
        <v>19</v>
      </c>
      <c r="B11" t="s">
        <v>33</v>
      </c>
      <c r="C11">
        <v>1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1</v>
      </c>
      <c r="L11">
        <v>1</v>
      </c>
      <c r="M11">
        <v>2</v>
      </c>
      <c r="N11">
        <v>3</v>
      </c>
      <c r="O11">
        <v>3</v>
      </c>
      <c r="P11">
        <v>3</v>
      </c>
      <c r="Q11">
        <v>3</v>
      </c>
      <c r="R11">
        <v>1.733333333333333</v>
      </c>
      <c r="S11" t="s">
        <v>38</v>
      </c>
    </row>
    <row r="12" spans="1:19">
      <c r="A12" t="s">
        <v>19</v>
      </c>
      <c r="B12" t="s">
        <v>34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2</v>
      </c>
      <c r="N12">
        <v>4</v>
      </c>
      <c r="O12">
        <v>1</v>
      </c>
      <c r="P12">
        <v>2</v>
      </c>
      <c r="Q12">
        <v>2</v>
      </c>
      <c r="R12">
        <v>1.4</v>
      </c>
      <c r="S12" t="s">
        <v>38</v>
      </c>
    </row>
    <row r="13" spans="1:19">
      <c r="A13" t="s">
        <v>19</v>
      </c>
      <c r="B13" t="s">
        <v>35</v>
      </c>
      <c r="C13">
        <v>4</v>
      </c>
      <c r="D13">
        <v>1</v>
      </c>
      <c r="E13">
        <v>3</v>
      </c>
      <c r="F13">
        <v>4</v>
      </c>
      <c r="G13">
        <v>1</v>
      </c>
      <c r="H13">
        <v>4</v>
      </c>
      <c r="I13">
        <v>1</v>
      </c>
      <c r="J13">
        <v>4</v>
      </c>
      <c r="K13">
        <v>4</v>
      </c>
      <c r="L13">
        <v>4</v>
      </c>
      <c r="M13">
        <v>4</v>
      </c>
      <c r="N13">
        <v>4</v>
      </c>
      <c r="O13">
        <v>1</v>
      </c>
      <c r="P13">
        <v>3</v>
      </c>
      <c r="Q13">
        <v>3</v>
      </c>
      <c r="R13">
        <v>3</v>
      </c>
      <c r="S13" t="s">
        <v>39</v>
      </c>
    </row>
    <row r="14" spans="1:19">
      <c r="A14" t="s">
        <v>19</v>
      </c>
      <c r="B14" t="s">
        <v>36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2</v>
      </c>
      <c r="K14">
        <v>2</v>
      </c>
      <c r="L14">
        <v>2</v>
      </c>
      <c r="M14">
        <v>5</v>
      </c>
      <c r="N14">
        <v>5</v>
      </c>
      <c r="O14">
        <v>1</v>
      </c>
      <c r="P14">
        <v>3</v>
      </c>
      <c r="Q14">
        <v>3</v>
      </c>
      <c r="R14">
        <v>2</v>
      </c>
      <c r="S14" t="s">
        <v>38</v>
      </c>
    </row>
    <row r="15" spans="1:19">
      <c r="A15" t="s">
        <v>19</v>
      </c>
      <c r="B15" t="s">
        <v>37</v>
      </c>
      <c r="C15">
        <v>3</v>
      </c>
      <c r="D15">
        <v>3</v>
      </c>
      <c r="E15">
        <v>3</v>
      </c>
      <c r="F15">
        <v>3</v>
      </c>
      <c r="G15">
        <v>4</v>
      </c>
      <c r="H15">
        <v>3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3</v>
      </c>
      <c r="P15">
        <v>3</v>
      </c>
      <c r="Q15">
        <v>3</v>
      </c>
      <c r="R15">
        <v>3.466666666666667</v>
      </c>
      <c r="S15" t="s">
        <v>39</v>
      </c>
    </row>
    <row r="16" spans="1:19">
      <c r="A16" t="s">
        <v>20</v>
      </c>
      <c r="B16" t="s">
        <v>24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3</v>
      </c>
      <c r="K16">
        <v>2</v>
      </c>
      <c r="L16">
        <v>2</v>
      </c>
      <c r="M16">
        <v>2</v>
      </c>
      <c r="N16">
        <v>2</v>
      </c>
      <c r="O16">
        <v>3</v>
      </c>
      <c r="P16">
        <v>3</v>
      </c>
      <c r="Q16">
        <v>3</v>
      </c>
      <c r="R16">
        <v>2.266666666666667</v>
      </c>
      <c r="S16" t="s">
        <v>38</v>
      </c>
    </row>
    <row r="17" spans="1:19">
      <c r="A17" t="s">
        <v>20</v>
      </c>
      <c r="B17" t="s">
        <v>25</v>
      </c>
      <c r="C17">
        <v>2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2.933333333333333</v>
      </c>
      <c r="S17" t="s">
        <v>38</v>
      </c>
    </row>
    <row r="18" spans="1:19">
      <c r="A18" t="s">
        <v>20</v>
      </c>
      <c r="B18" t="s">
        <v>26</v>
      </c>
      <c r="C18">
        <v>1</v>
      </c>
      <c r="D18">
        <v>2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  <c r="K18">
        <v>1</v>
      </c>
      <c r="L18">
        <v>1</v>
      </c>
      <c r="M18">
        <v>3</v>
      </c>
      <c r="N18">
        <v>2</v>
      </c>
      <c r="O18">
        <v>2</v>
      </c>
      <c r="P18">
        <v>4</v>
      </c>
      <c r="Q18">
        <v>4</v>
      </c>
      <c r="R18">
        <v>1.866666666666667</v>
      </c>
      <c r="S18" t="s">
        <v>38</v>
      </c>
    </row>
    <row r="19" spans="1:19">
      <c r="A19" t="s">
        <v>20</v>
      </c>
      <c r="B19" t="s">
        <v>27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 t="s">
        <v>40</v>
      </c>
    </row>
    <row r="20" spans="1:19">
      <c r="A20" t="s">
        <v>20</v>
      </c>
      <c r="B20" t="s">
        <v>28</v>
      </c>
      <c r="C20">
        <v>5</v>
      </c>
      <c r="D20">
        <v>4</v>
      </c>
      <c r="E20">
        <v>4</v>
      </c>
      <c r="F20">
        <v>4</v>
      </c>
      <c r="G20">
        <v>5</v>
      </c>
      <c r="H20">
        <v>5</v>
      </c>
      <c r="I20">
        <v>5</v>
      </c>
      <c r="J20">
        <v>4</v>
      </c>
      <c r="K20">
        <v>5</v>
      </c>
      <c r="L20">
        <v>5</v>
      </c>
      <c r="M20">
        <v>4</v>
      </c>
      <c r="N20">
        <v>5</v>
      </c>
      <c r="O20">
        <v>4</v>
      </c>
      <c r="P20">
        <v>5</v>
      </c>
      <c r="Q20">
        <v>5</v>
      </c>
      <c r="R20">
        <v>4.6</v>
      </c>
      <c r="S20" t="s">
        <v>40</v>
      </c>
    </row>
    <row r="21" spans="1:19">
      <c r="A21" t="s">
        <v>20</v>
      </c>
      <c r="B21" t="s">
        <v>29</v>
      </c>
      <c r="C21">
        <v>1</v>
      </c>
      <c r="D21">
        <v>1</v>
      </c>
      <c r="E21">
        <v>1</v>
      </c>
      <c r="F21">
        <v>1</v>
      </c>
      <c r="G21">
        <v>1</v>
      </c>
      <c r="H21">
        <v>3</v>
      </c>
      <c r="I21">
        <v>1</v>
      </c>
      <c r="J21">
        <v>1</v>
      </c>
      <c r="K21">
        <v>1</v>
      </c>
      <c r="L21">
        <v>1</v>
      </c>
      <c r="M21">
        <v>1</v>
      </c>
      <c r="N21">
        <v>4</v>
      </c>
      <c r="O21">
        <v>3</v>
      </c>
      <c r="P21">
        <v>4</v>
      </c>
      <c r="Q21">
        <v>4</v>
      </c>
      <c r="R21">
        <v>1.866666666666667</v>
      </c>
      <c r="S21" t="s">
        <v>38</v>
      </c>
    </row>
    <row r="22" spans="1:19">
      <c r="A22" t="s">
        <v>20</v>
      </c>
      <c r="B22" t="s">
        <v>30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3</v>
      </c>
      <c r="L22">
        <v>2</v>
      </c>
      <c r="M22">
        <v>4</v>
      </c>
      <c r="N22">
        <v>4</v>
      </c>
      <c r="O22">
        <v>4</v>
      </c>
      <c r="P22">
        <v>4</v>
      </c>
      <c r="Q22">
        <v>4</v>
      </c>
      <c r="R22">
        <v>3.8</v>
      </c>
      <c r="S22" t="s">
        <v>39</v>
      </c>
    </row>
    <row r="23" spans="1:19">
      <c r="A23" t="s">
        <v>20</v>
      </c>
      <c r="B23" t="s">
        <v>31</v>
      </c>
      <c r="C23">
        <v>4</v>
      </c>
      <c r="D23">
        <v>5</v>
      </c>
      <c r="E23">
        <v>4</v>
      </c>
      <c r="F23">
        <v>4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M23">
        <v>5</v>
      </c>
      <c r="N23">
        <v>4</v>
      </c>
      <c r="O23">
        <v>3</v>
      </c>
      <c r="P23">
        <v>4</v>
      </c>
      <c r="Q23">
        <v>4</v>
      </c>
      <c r="R23">
        <v>4.2</v>
      </c>
      <c r="S23" t="s">
        <v>40</v>
      </c>
    </row>
    <row r="24" spans="1:19">
      <c r="A24" t="s">
        <v>20</v>
      </c>
      <c r="B24" t="s">
        <v>32</v>
      </c>
      <c r="C24">
        <v>2</v>
      </c>
      <c r="D24">
        <v>4</v>
      </c>
      <c r="E24">
        <v>3</v>
      </c>
      <c r="F24">
        <v>3</v>
      </c>
      <c r="G24">
        <v>4</v>
      </c>
      <c r="H24">
        <v>4</v>
      </c>
      <c r="I24">
        <v>3</v>
      </c>
      <c r="J24">
        <v>4</v>
      </c>
      <c r="K24">
        <v>1</v>
      </c>
      <c r="L24">
        <v>1</v>
      </c>
      <c r="M24">
        <v>3</v>
      </c>
      <c r="N24">
        <v>4</v>
      </c>
      <c r="O24">
        <v>4</v>
      </c>
      <c r="P24">
        <v>4</v>
      </c>
      <c r="Q24">
        <v>4</v>
      </c>
      <c r="R24">
        <v>3.2</v>
      </c>
      <c r="S24" t="s">
        <v>39</v>
      </c>
    </row>
    <row r="25" spans="1:19">
      <c r="A25" t="s">
        <v>20</v>
      </c>
      <c r="B25" t="s">
        <v>33</v>
      </c>
      <c r="C25">
        <v>2</v>
      </c>
      <c r="D25">
        <v>3</v>
      </c>
      <c r="E25">
        <v>2</v>
      </c>
      <c r="F25">
        <v>2</v>
      </c>
      <c r="G25">
        <v>3</v>
      </c>
      <c r="H25">
        <v>3</v>
      </c>
      <c r="I25">
        <v>2</v>
      </c>
      <c r="J25">
        <v>2</v>
      </c>
      <c r="K25">
        <v>2</v>
      </c>
      <c r="L25">
        <v>2</v>
      </c>
      <c r="M25">
        <v>3</v>
      </c>
      <c r="N25">
        <v>3</v>
      </c>
      <c r="O25">
        <v>3</v>
      </c>
      <c r="P25">
        <v>3</v>
      </c>
      <c r="Q25">
        <v>3</v>
      </c>
      <c r="R25">
        <v>2.533333333333333</v>
      </c>
      <c r="S25" t="s">
        <v>38</v>
      </c>
    </row>
    <row r="26" spans="1:19">
      <c r="A26" t="s">
        <v>20</v>
      </c>
      <c r="B26" t="s">
        <v>34</v>
      </c>
      <c r="C26">
        <v>1</v>
      </c>
      <c r="D26">
        <v>1</v>
      </c>
      <c r="E26">
        <v>1</v>
      </c>
      <c r="F26">
        <v>1</v>
      </c>
      <c r="G26">
        <v>2</v>
      </c>
      <c r="H26">
        <v>2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3</v>
      </c>
      <c r="P26">
        <v>4</v>
      </c>
      <c r="Q26">
        <v>4</v>
      </c>
      <c r="R26">
        <v>1.666666666666667</v>
      </c>
      <c r="S26" t="s">
        <v>38</v>
      </c>
    </row>
    <row r="27" spans="1:19">
      <c r="A27" t="s">
        <v>20</v>
      </c>
      <c r="B27" t="s">
        <v>35</v>
      </c>
      <c r="C27">
        <v>1</v>
      </c>
      <c r="D27">
        <v>4</v>
      </c>
      <c r="E27">
        <v>2</v>
      </c>
      <c r="F27">
        <v>4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1.466666666666667</v>
      </c>
      <c r="S27" t="s">
        <v>38</v>
      </c>
    </row>
    <row r="28" spans="1:19">
      <c r="A28" t="s">
        <v>20</v>
      </c>
      <c r="B28" t="s">
        <v>36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2</v>
      </c>
      <c r="P28">
        <v>1</v>
      </c>
      <c r="Q28">
        <v>1</v>
      </c>
      <c r="R28">
        <v>1.066666666666667</v>
      </c>
      <c r="S28" t="s">
        <v>38</v>
      </c>
    </row>
    <row r="29" spans="1:19">
      <c r="A29" t="s">
        <v>20</v>
      </c>
      <c r="B29" t="s">
        <v>37</v>
      </c>
      <c r="C29">
        <v>3</v>
      </c>
      <c r="D29">
        <v>3</v>
      </c>
      <c r="E29">
        <v>3</v>
      </c>
      <c r="F29">
        <v>3</v>
      </c>
      <c r="G29">
        <v>4</v>
      </c>
      <c r="H29">
        <v>4</v>
      </c>
      <c r="I29">
        <v>3</v>
      </c>
      <c r="J29">
        <v>3</v>
      </c>
      <c r="K29">
        <v>3</v>
      </c>
      <c r="L29">
        <v>3</v>
      </c>
      <c r="M29">
        <v>4</v>
      </c>
      <c r="N29">
        <v>3</v>
      </c>
      <c r="O29">
        <v>3</v>
      </c>
      <c r="P29">
        <v>3</v>
      </c>
      <c r="Q29">
        <v>3</v>
      </c>
      <c r="R29">
        <v>3.2</v>
      </c>
      <c r="S29" t="s">
        <v>39</v>
      </c>
    </row>
    <row r="30" spans="1:19">
      <c r="A30" t="s">
        <v>21</v>
      </c>
      <c r="B30" t="s">
        <v>24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3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2.066666666666667</v>
      </c>
      <c r="S30" t="s">
        <v>38</v>
      </c>
    </row>
    <row r="31" spans="1:19">
      <c r="A31" t="s">
        <v>21</v>
      </c>
      <c r="B31" t="s">
        <v>25</v>
      </c>
      <c r="C31">
        <v>3</v>
      </c>
      <c r="D31">
        <v>2</v>
      </c>
      <c r="E31">
        <v>2</v>
      </c>
      <c r="F31">
        <v>2</v>
      </c>
      <c r="G31">
        <v>2</v>
      </c>
      <c r="H31">
        <v>4</v>
      </c>
      <c r="I31">
        <v>4</v>
      </c>
      <c r="J31">
        <v>4</v>
      </c>
      <c r="K31">
        <v>3</v>
      </c>
      <c r="L31">
        <v>4</v>
      </c>
      <c r="M31">
        <v>4</v>
      </c>
      <c r="N31">
        <v>3</v>
      </c>
      <c r="O31">
        <v>3</v>
      </c>
      <c r="P31">
        <v>4</v>
      </c>
      <c r="Q31">
        <v>3</v>
      </c>
      <c r="R31">
        <v>3.133333333333333</v>
      </c>
      <c r="S31" t="s">
        <v>39</v>
      </c>
    </row>
    <row r="32" spans="1:19">
      <c r="A32" t="s">
        <v>21</v>
      </c>
      <c r="B32" t="s">
        <v>26</v>
      </c>
      <c r="C32">
        <v>2</v>
      </c>
      <c r="D32">
        <v>1</v>
      </c>
      <c r="E32">
        <v>2</v>
      </c>
      <c r="F32">
        <v>1</v>
      </c>
      <c r="G32">
        <v>1</v>
      </c>
      <c r="H32">
        <v>2</v>
      </c>
      <c r="I32">
        <v>1</v>
      </c>
      <c r="J32">
        <v>2</v>
      </c>
      <c r="K32">
        <v>1</v>
      </c>
      <c r="L32">
        <v>1</v>
      </c>
      <c r="M32">
        <v>2</v>
      </c>
      <c r="N32">
        <v>2</v>
      </c>
      <c r="O32">
        <v>2</v>
      </c>
      <c r="P32">
        <v>4</v>
      </c>
      <c r="Q32">
        <v>4</v>
      </c>
      <c r="R32">
        <v>1.866666666666667</v>
      </c>
      <c r="S32" t="s">
        <v>38</v>
      </c>
    </row>
    <row r="33" spans="1:19">
      <c r="A33" t="s">
        <v>21</v>
      </c>
      <c r="B33" t="s">
        <v>27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 t="s">
        <v>40</v>
      </c>
    </row>
    <row r="34" spans="1:19">
      <c r="A34" t="s">
        <v>21</v>
      </c>
      <c r="B34" t="s">
        <v>28</v>
      </c>
      <c r="C34">
        <v>5</v>
      </c>
      <c r="D34">
        <v>3</v>
      </c>
      <c r="E34">
        <v>5</v>
      </c>
      <c r="F34">
        <v>5</v>
      </c>
      <c r="G34">
        <v>5</v>
      </c>
      <c r="H34">
        <v>5</v>
      </c>
      <c r="I34">
        <v>3</v>
      </c>
      <c r="J34">
        <v>3</v>
      </c>
      <c r="K34">
        <v>5</v>
      </c>
      <c r="L34">
        <v>5</v>
      </c>
      <c r="M34">
        <v>5</v>
      </c>
      <c r="N34">
        <v>4</v>
      </c>
      <c r="O34">
        <v>4</v>
      </c>
      <c r="P34">
        <v>5</v>
      </c>
      <c r="Q34">
        <v>5</v>
      </c>
      <c r="R34">
        <v>4.466666666666667</v>
      </c>
      <c r="S34" t="s">
        <v>40</v>
      </c>
    </row>
    <row r="35" spans="1:19">
      <c r="A35" t="s">
        <v>21</v>
      </c>
      <c r="B35" t="s">
        <v>29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3</v>
      </c>
      <c r="O35">
        <v>1</v>
      </c>
      <c r="P35">
        <v>1</v>
      </c>
      <c r="Q35">
        <v>1</v>
      </c>
      <c r="R35">
        <v>1.133333333333333</v>
      </c>
      <c r="S35" t="s">
        <v>38</v>
      </c>
    </row>
    <row r="36" spans="1:19">
      <c r="A36" t="s">
        <v>21</v>
      </c>
      <c r="B36" t="s">
        <v>30</v>
      </c>
      <c r="C36">
        <v>4</v>
      </c>
      <c r="D36">
        <v>1</v>
      </c>
      <c r="E36">
        <v>4</v>
      </c>
      <c r="F36">
        <v>2</v>
      </c>
      <c r="G36">
        <v>4</v>
      </c>
      <c r="H36">
        <v>4</v>
      </c>
      <c r="I36">
        <v>2</v>
      </c>
      <c r="J36">
        <v>4</v>
      </c>
      <c r="K36">
        <v>2</v>
      </c>
      <c r="L36">
        <v>3</v>
      </c>
      <c r="M36">
        <v>4</v>
      </c>
      <c r="N36">
        <v>4</v>
      </c>
      <c r="O36">
        <v>4</v>
      </c>
      <c r="P36">
        <v>4</v>
      </c>
      <c r="Q36">
        <v>3</v>
      </c>
      <c r="R36">
        <v>3.266666666666667</v>
      </c>
      <c r="S36" t="s">
        <v>39</v>
      </c>
    </row>
    <row r="37" spans="1:19">
      <c r="A37" t="s">
        <v>21</v>
      </c>
      <c r="B37" t="s">
        <v>31</v>
      </c>
      <c r="C37">
        <v>4</v>
      </c>
      <c r="D37">
        <v>3</v>
      </c>
      <c r="E37">
        <v>4</v>
      </c>
      <c r="F37">
        <v>3</v>
      </c>
      <c r="G37">
        <v>3</v>
      </c>
      <c r="H37">
        <v>4</v>
      </c>
      <c r="I37">
        <v>3</v>
      </c>
      <c r="J37">
        <v>4</v>
      </c>
      <c r="K37">
        <v>3</v>
      </c>
      <c r="L37">
        <v>4</v>
      </c>
      <c r="M37">
        <v>4</v>
      </c>
      <c r="N37">
        <v>3</v>
      </c>
      <c r="O37">
        <v>4</v>
      </c>
      <c r="P37">
        <v>3</v>
      </c>
      <c r="Q37">
        <v>3</v>
      </c>
      <c r="R37">
        <v>3.466666666666667</v>
      </c>
      <c r="S37" t="s">
        <v>39</v>
      </c>
    </row>
    <row r="38" spans="1:19">
      <c r="A38" t="s">
        <v>21</v>
      </c>
      <c r="B38" t="s">
        <v>32</v>
      </c>
      <c r="C38">
        <v>3</v>
      </c>
      <c r="D38">
        <v>2</v>
      </c>
      <c r="E38">
        <v>1</v>
      </c>
      <c r="F38">
        <v>1</v>
      </c>
      <c r="G38">
        <v>1</v>
      </c>
      <c r="H38">
        <v>3</v>
      </c>
      <c r="I38">
        <v>1</v>
      </c>
      <c r="J38">
        <v>2</v>
      </c>
      <c r="K38">
        <v>2</v>
      </c>
      <c r="L38">
        <v>1</v>
      </c>
      <c r="M38">
        <v>2</v>
      </c>
      <c r="N38">
        <v>2</v>
      </c>
      <c r="O38">
        <v>3</v>
      </c>
      <c r="P38">
        <v>2</v>
      </c>
      <c r="Q38">
        <v>2</v>
      </c>
      <c r="R38">
        <v>1.866666666666667</v>
      </c>
      <c r="S38" t="s">
        <v>38</v>
      </c>
    </row>
    <row r="39" spans="1:19">
      <c r="A39" t="s">
        <v>21</v>
      </c>
      <c r="B39" t="s">
        <v>33</v>
      </c>
      <c r="C39">
        <v>2</v>
      </c>
      <c r="D39">
        <v>1</v>
      </c>
      <c r="E39">
        <v>2</v>
      </c>
      <c r="F39">
        <v>2</v>
      </c>
      <c r="G39">
        <v>1</v>
      </c>
      <c r="H39">
        <v>2</v>
      </c>
      <c r="I39">
        <v>1</v>
      </c>
      <c r="J39">
        <v>2</v>
      </c>
      <c r="K39">
        <v>2</v>
      </c>
      <c r="L39">
        <v>2</v>
      </c>
      <c r="M39">
        <v>3</v>
      </c>
      <c r="N39">
        <v>3</v>
      </c>
      <c r="O39">
        <v>3</v>
      </c>
      <c r="P39">
        <v>3</v>
      </c>
      <c r="Q39">
        <v>3</v>
      </c>
      <c r="R39">
        <v>2.133333333333333</v>
      </c>
      <c r="S39" t="s">
        <v>38</v>
      </c>
    </row>
    <row r="40" spans="1:19">
      <c r="A40" t="s">
        <v>21</v>
      </c>
      <c r="B40" t="s">
        <v>34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2</v>
      </c>
      <c r="O40">
        <v>1</v>
      </c>
      <c r="P40">
        <v>1</v>
      </c>
      <c r="Q40">
        <v>1</v>
      </c>
      <c r="R40">
        <v>1.066666666666667</v>
      </c>
      <c r="S40" t="s">
        <v>38</v>
      </c>
    </row>
    <row r="41" spans="1:19">
      <c r="A41" t="s">
        <v>21</v>
      </c>
      <c r="B41" t="s">
        <v>35</v>
      </c>
      <c r="C41">
        <v>4</v>
      </c>
      <c r="D41">
        <v>1</v>
      </c>
      <c r="E41">
        <v>1</v>
      </c>
      <c r="F41">
        <v>3</v>
      </c>
      <c r="G41">
        <v>3</v>
      </c>
      <c r="H41">
        <v>3</v>
      </c>
      <c r="I41">
        <v>1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2.666666666666667</v>
      </c>
      <c r="S41" t="s">
        <v>38</v>
      </c>
    </row>
    <row r="42" spans="1:19">
      <c r="A42" t="s">
        <v>21</v>
      </c>
      <c r="B42" t="s">
        <v>36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 t="s">
        <v>38</v>
      </c>
    </row>
    <row r="43" spans="1:19">
      <c r="A43" t="s">
        <v>21</v>
      </c>
      <c r="B43" t="s">
        <v>37</v>
      </c>
      <c r="C43">
        <v>4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4</v>
      </c>
      <c r="M43">
        <v>4</v>
      </c>
      <c r="N43">
        <v>4</v>
      </c>
      <c r="O43">
        <v>3</v>
      </c>
      <c r="P43">
        <v>4</v>
      </c>
      <c r="Q43">
        <v>3</v>
      </c>
      <c r="R43">
        <v>3.333333333333333</v>
      </c>
      <c r="S43" t="s">
        <v>39</v>
      </c>
    </row>
    <row r="44" spans="1:19">
      <c r="A44" t="s">
        <v>22</v>
      </c>
      <c r="B44" t="s">
        <v>24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2.4</v>
      </c>
      <c r="S44" t="s">
        <v>38</v>
      </c>
    </row>
    <row r="45" spans="1:19">
      <c r="A45" t="s">
        <v>22</v>
      </c>
      <c r="B45" t="s">
        <v>25</v>
      </c>
      <c r="C45">
        <v>3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3</v>
      </c>
      <c r="P45">
        <v>4</v>
      </c>
      <c r="Q45">
        <v>4</v>
      </c>
      <c r="R45">
        <v>2.4</v>
      </c>
      <c r="S45" t="s">
        <v>38</v>
      </c>
    </row>
    <row r="46" spans="1:19">
      <c r="A46" t="s">
        <v>22</v>
      </c>
      <c r="B46" t="s">
        <v>26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>
        <v>1</v>
      </c>
      <c r="N46">
        <v>1</v>
      </c>
      <c r="O46">
        <v>1</v>
      </c>
      <c r="P46">
        <v>1</v>
      </c>
      <c r="Q46">
        <v>1</v>
      </c>
      <c r="R46">
        <v>1.066666666666667</v>
      </c>
      <c r="S46" t="s">
        <v>38</v>
      </c>
    </row>
    <row r="47" spans="1:19">
      <c r="A47" t="s">
        <v>22</v>
      </c>
      <c r="B47" t="s">
        <v>27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 t="s">
        <v>40</v>
      </c>
    </row>
    <row r="48" spans="1:19">
      <c r="A48" t="s">
        <v>22</v>
      </c>
      <c r="B48" t="s">
        <v>28</v>
      </c>
      <c r="C48">
        <v>3</v>
      </c>
      <c r="D48">
        <v>4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4.8</v>
      </c>
      <c r="S48" t="s">
        <v>40</v>
      </c>
    </row>
    <row r="49" spans="1:19">
      <c r="A49" t="s">
        <v>22</v>
      </c>
      <c r="B49" t="s">
        <v>29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2</v>
      </c>
      <c r="P49">
        <v>4</v>
      </c>
      <c r="Q49">
        <v>3</v>
      </c>
      <c r="R49">
        <v>1.4</v>
      </c>
      <c r="S49" t="s">
        <v>38</v>
      </c>
    </row>
    <row r="50" spans="1:19">
      <c r="A50" t="s">
        <v>22</v>
      </c>
      <c r="B50" t="s">
        <v>30</v>
      </c>
      <c r="C50">
        <v>1</v>
      </c>
      <c r="D50">
        <v>2</v>
      </c>
      <c r="E50">
        <v>2</v>
      </c>
      <c r="F50">
        <v>3</v>
      </c>
      <c r="G50">
        <v>1</v>
      </c>
      <c r="H50">
        <v>2</v>
      </c>
      <c r="I50">
        <v>1</v>
      </c>
      <c r="J50">
        <v>1</v>
      </c>
      <c r="K50">
        <v>1</v>
      </c>
      <c r="L50">
        <v>3</v>
      </c>
      <c r="M50">
        <v>3</v>
      </c>
      <c r="N50">
        <v>3</v>
      </c>
      <c r="O50">
        <v>3</v>
      </c>
      <c r="P50">
        <v>4</v>
      </c>
      <c r="Q50">
        <v>4</v>
      </c>
      <c r="R50">
        <v>2.266666666666667</v>
      </c>
      <c r="S50" t="s">
        <v>38</v>
      </c>
    </row>
    <row r="51" spans="1:19">
      <c r="A51" t="s">
        <v>22</v>
      </c>
      <c r="B51" t="s">
        <v>31</v>
      </c>
      <c r="C51">
        <v>3</v>
      </c>
      <c r="D51">
        <v>4</v>
      </c>
      <c r="E51">
        <v>4</v>
      </c>
      <c r="F51">
        <v>4</v>
      </c>
      <c r="G51">
        <v>4</v>
      </c>
      <c r="H51">
        <v>4</v>
      </c>
      <c r="I51">
        <v>3</v>
      </c>
      <c r="J51">
        <v>3</v>
      </c>
      <c r="K51">
        <v>3</v>
      </c>
      <c r="L51">
        <v>5</v>
      </c>
      <c r="M51">
        <v>3</v>
      </c>
      <c r="N51">
        <v>2</v>
      </c>
      <c r="O51">
        <v>1</v>
      </c>
      <c r="P51">
        <v>3</v>
      </c>
      <c r="Q51">
        <v>3</v>
      </c>
      <c r="R51">
        <v>3.266666666666667</v>
      </c>
      <c r="S51" t="s">
        <v>39</v>
      </c>
    </row>
    <row r="52" spans="1:19">
      <c r="A52" t="s">
        <v>22</v>
      </c>
      <c r="B52" t="s">
        <v>32</v>
      </c>
      <c r="C52">
        <v>2</v>
      </c>
      <c r="D52">
        <v>2</v>
      </c>
      <c r="E52">
        <v>1</v>
      </c>
      <c r="F52">
        <v>1</v>
      </c>
      <c r="G52">
        <v>1</v>
      </c>
      <c r="H52">
        <v>2</v>
      </c>
      <c r="I52">
        <v>2</v>
      </c>
      <c r="J52">
        <v>1</v>
      </c>
      <c r="K52">
        <v>2</v>
      </c>
      <c r="L52">
        <v>2</v>
      </c>
      <c r="M52">
        <v>2</v>
      </c>
      <c r="N52">
        <v>1</v>
      </c>
      <c r="O52">
        <v>2</v>
      </c>
      <c r="P52">
        <v>3</v>
      </c>
      <c r="Q52">
        <v>3</v>
      </c>
      <c r="R52">
        <v>1.8</v>
      </c>
      <c r="S52" t="s">
        <v>38</v>
      </c>
    </row>
    <row r="53" spans="1:19">
      <c r="A53" t="s">
        <v>22</v>
      </c>
      <c r="B53" t="s">
        <v>33</v>
      </c>
      <c r="C53">
        <v>3</v>
      </c>
      <c r="D53">
        <v>2</v>
      </c>
      <c r="E53">
        <v>2</v>
      </c>
      <c r="F53">
        <v>3</v>
      </c>
      <c r="G53">
        <v>3</v>
      </c>
      <c r="H53">
        <v>2</v>
      </c>
      <c r="I53">
        <v>3</v>
      </c>
      <c r="J53">
        <v>2</v>
      </c>
      <c r="K53">
        <v>2</v>
      </c>
      <c r="L53">
        <v>3</v>
      </c>
      <c r="M53">
        <v>3</v>
      </c>
      <c r="N53">
        <v>3</v>
      </c>
      <c r="O53">
        <v>3</v>
      </c>
      <c r="P53">
        <v>2</v>
      </c>
      <c r="Q53">
        <v>3</v>
      </c>
      <c r="R53">
        <v>2.6</v>
      </c>
      <c r="S53" t="s">
        <v>38</v>
      </c>
    </row>
    <row r="54" spans="1:19">
      <c r="A54" t="s">
        <v>22</v>
      </c>
      <c r="B54" t="s">
        <v>34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 t="s">
        <v>38</v>
      </c>
    </row>
    <row r="55" spans="1:19">
      <c r="A55" t="s">
        <v>22</v>
      </c>
      <c r="B55" t="s">
        <v>35</v>
      </c>
      <c r="C55">
        <v>3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3</v>
      </c>
      <c r="L55">
        <v>1</v>
      </c>
      <c r="M55">
        <v>3</v>
      </c>
      <c r="N55">
        <v>3</v>
      </c>
      <c r="O55">
        <v>1</v>
      </c>
      <c r="P55">
        <v>1</v>
      </c>
      <c r="Q55">
        <v>1</v>
      </c>
      <c r="R55">
        <v>1.533333333333333</v>
      </c>
      <c r="S55" t="s">
        <v>38</v>
      </c>
    </row>
    <row r="56" spans="1:19">
      <c r="A56" t="s">
        <v>22</v>
      </c>
      <c r="B56" t="s">
        <v>36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 t="s">
        <v>38</v>
      </c>
    </row>
    <row r="57" spans="1:19">
      <c r="A57" t="s">
        <v>22</v>
      </c>
      <c r="B57" t="s">
        <v>37</v>
      </c>
      <c r="C57">
        <v>4</v>
      </c>
      <c r="D57">
        <v>3</v>
      </c>
      <c r="E57">
        <v>4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4</v>
      </c>
      <c r="O57">
        <v>3</v>
      </c>
      <c r="P57">
        <v>4</v>
      </c>
      <c r="Q57">
        <v>4</v>
      </c>
      <c r="R57">
        <v>3.333333333333333</v>
      </c>
      <c r="S57" t="s">
        <v>39</v>
      </c>
    </row>
    <row r="58" spans="1:19">
      <c r="A58" t="s">
        <v>23</v>
      </c>
      <c r="B58" t="s">
        <v>24</v>
      </c>
      <c r="C58">
        <v>1</v>
      </c>
      <c r="D58">
        <v>1</v>
      </c>
      <c r="E58">
        <v>1</v>
      </c>
      <c r="F58">
        <v>2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3</v>
      </c>
      <c r="P58">
        <v>2</v>
      </c>
      <c r="Q58">
        <v>2</v>
      </c>
      <c r="R58">
        <v>1.333333333333333</v>
      </c>
      <c r="S58" t="s">
        <v>38</v>
      </c>
    </row>
    <row r="59" spans="1:19">
      <c r="A59" t="s">
        <v>23</v>
      </c>
      <c r="B59" t="s">
        <v>25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3</v>
      </c>
      <c r="J59">
        <v>3</v>
      </c>
      <c r="K59">
        <v>2</v>
      </c>
      <c r="L59">
        <v>2</v>
      </c>
      <c r="M59">
        <v>2</v>
      </c>
      <c r="N59">
        <v>2</v>
      </c>
      <c r="O59">
        <v>2</v>
      </c>
      <c r="P59">
        <v>3</v>
      </c>
      <c r="Q59">
        <v>3</v>
      </c>
      <c r="R59">
        <v>2.266666666666667</v>
      </c>
      <c r="S59" t="s">
        <v>38</v>
      </c>
    </row>
    <row r="60" spans="1:19">
      <c r="A60" t="s">
        <v>23</v>
      </c>
      <c r="B60" t="s">
        <v>26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 t="s">
        <v>38</v>
      </c>
    </row>
    <row r="61" spans="1:19">
      <c r="A61" t="s">
        <v>23</v>
      </c>
      <c r="B61" t="s">
        <v>27</v>
      </c>
      <c r="C61">
        <v>4</v>
      </c>
      <c r="D61">
        <v>5</v>
      </c>
      <c r="E61">
        <v>5</v>
      </c>
      <c r="F61">
        <v>5</v>
      </c>
      <c r="G61">
        <v>5</v>
      </c>
      <c r="H61">
        <v>4</v>
      </c>
      <c r="I61">
        <v>4</v>
      </c>
      <c r="J61">
        <v>5</v>
      </c>
      <c r="K61">
        <v>5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4.4</v>
      </c>
      <c r="S61" t="s">
        <v>40</v>
      </c>
    </row>
    <row r="62" spans="1:19">
      <c r="A62" t="s">
        <v>23</v>
      </c>
      <c r="B62" t="s">
        <v>28</v>
      </c>
      <c r="C62">
        <v>4</v>
      </c>
      <c r="D62">
        <v>4</v>
      </c>
      <c r="E62">
        <v>3</v>
      </c>
      <c r="F62">
        <v>4</v>
      </c>
      <c r="G62">
        <v>4</v>
      </c>
      <c r="H62">
        <v>4</v>
      </c>
      <c r="I62">
        <v>3</v>
      </c>
      <c r="J62">
        <v>4</v>
      </c>
      <c r="K62">
        <v>4</v>
      </c>
      <c r="L62">
        <v>4</v>
      </c>
      <c r="M62">
        <v>4</v>
      </c>
      <c r="N62">
        <v>3</v>
      </c>
      <c r="O62">
        <v>3</v>
      </c>
      <c r="P62">
        <v>5</v>
      </c>
      <c r="Q62">
        <v>5</v>
      </c>
      <c r="R62">
        <v>3.866666666666667</v>
      </c>
      <c r="S62" t="s">
        <v>39</v>
      </c>
    </row>
    <row r="63" spans="1:19">
      <c r="A63" t="s">
        <v>23</v>
      </c>
      <c r="B63" t="s">
        <v>29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3</v>
      </c>
      <c r="M63">
        <v>3</v>
      </c>
      <c r="N63">
        <v>1</v>
      </c>
      <c r="O63">
        <v>3</v>
      </c>
      <c r="P63">
        <v>1</v>
      </c>
      <c r="Q63">
        <v>3</v>
      </c>
      <c r="R63">
        <v>1.533333333333333</v>
      </c>
      <c r="S63" t="s">
        <v>38</v>
      </c>
    </row>
    <row r="64" spans="1:19">
      <c r="A64" t="s">
        <v>23</v>
      </c>
      <c r="B64" t="s">
        <v>30</v>
      </c>
      <c r="C64">
        <v>3</v>
      </c>
      <c r="D64">
        <v>2</v>
      </c>
      <c r="E64">
        <v>2</v>
      </c>
      <c r="F64">
        <v>1</v>
      </c>
      <c r="G64">
        <v>1</v>
      </c>
      <c r="H64">
        <v>1</v>
      </c>
      <c r="I64">
        <v>2</v>
      </c>
      <c r="J64">
        <v>2</v>
      </c>
      <c r="K64">
        <v>2</v>
      </c>
      <c r="L64">
        <v>2</v>
      </c>
      <c r="M64">
        <v>4</v>
      </c>
      <c r="N64">
        <v>4</v>
      </c>
      <c r="O64">
        <v>4</v>
      </c>
      <c r="P64">
        <v>4</v>
      </c>
      <c r="Q64">
        <v>3</v>
      </c>
      <c r="R64">
        <v>2.466666666666667</v>
      </c>
      <c r="S64" t="s">
        <v>38</v>
      </c>
    </row>
    <row r="65" spans="1:19">
      <c r="A65" t="s">
        <v>23</v>
      </c>
      <c r="B65" t="s">
        <v>31</v>
      </c>
      <c r="C65">
        <v>4</v>
      </c>
      <c r="D65">
        <v>3</v>
      </c>
      <c r="E65">
        <v>2</v>
      </c>
      <c r="F65">
        <v>3</v>
      </c>
      <c r="G65">
        <v>1</v>
      </c>
      <c r="H65">
        <v>1</v>
      </c>
      <c r="I65">
        <v>2</v>
      </c>
      <c r="J65">
        <v>3</v>
      </c>
      <c r="K65">
        <v>1</v>
      </c>
      <c r="L65">
        <v>2</v>
      </c>
      <c r="M65">
        <v>3</v>
      </c>
      <c r="N65">
        <v>3</v>
      </c>
      <c r="O65">
        <v>1</v>
      </c>
      <c r="P65">
        <v>1</v>
      </c>
      <c r="Q65">
        <v>1</v>
      </c>
      <c r="R65">
        <v>2.066666666666667</v>
      </c>
      <c r="S65" t="s">
        <v>38</v>
      </c>
    </row>
    <row r="66" spans="1:19">
      <c r="A66" t="s">
        <v>23</v>
      </c>
      <c r="B66" t="s">
        <v>32</v>
      </c>
      <c r="C66">
        <v>2</v>
      </c>
      <c r="D66">
        <v>1</v>
      </c>
      <c r="E66">
        <v>1</v>
      </c>
      <c r="F66">
        <v>2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2</v>
      </c>
      <c r="N66">
        <v>1</v>
      </c>
      <c r="O66">
        <v>1</v>
      </c>
      <c r="P66">
        <v>2</v>
      </c>
      <c r="Q66">
        <v>2</v>
      </c>
      <c r="R66">
        <v>1.333333333333333</v>
      </c>
      <c r="S66" t="s">
        <v>38</v>
      </c>
    </row>
    <row r="67" spans="1:19">
      <c r="A67" t="s">
        <v>23</v>
      </c>
      <c r="B67" t="s">
        <v>33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2</v>
      </c>
      <c r="P67">
        <v>1</v>
      </c>
      <c r="Q67">
        <v>2</v>
      </c>
      <c r="R67">
        <v>1.133333333333333</v>
      </c>
      <c r="S67" t="s">
        <v>38</v>
      </c>
    </row>
    <row r="68" spans="1:19">
      <c r="A68" t="s">
        <v>23</v>
      </c>
      <c r="B68" t="s">
        <v>34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 t="s">
        <v>38</v>
      </c>
    </row>
    <row r="69" spans="1:19">
      <c r="A69" t="s">
        <v>23</v>
      </c>
      <c r="B69" t="s">
        <v>35</v>
      </c>
      <c r="C69">
        <v>3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3</v>
      </c>
      <c r="L69">
        <v>1</v>
      </c>
      <c r="M69">
        <v>3</v>
      </c>
      <c r="N69">
        <v>3</v>
      </c>
      <c r="O69">
        <v>1</v>
      </c>
      <c r="P69">
        <v>1</v>
      </c>
      <c r="Q69">
        <v>1</v>
      </c>
      <c r="R69">
        <v>1.533333333333333</v>
      </c>
      <c r="S69" t="s">
        <v>38</v>
      </c>
    </row>
    <row r="70" spans="1:19">
      <c r="A70" t="s">
        <v>23</v>
      </c>
      <c r="B70" t="s">
        <v>36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 t="s">
        <v>38</v>
      </c>
    </row>
    <row r="71" spans="1:19">
      <c r="A71" t="s">
        <v>23</v>
      </c>
      <c r="B71" t="s">
        <v>37</v>
      </c>
      <c r="C71">
        <v>4</v>
      </c>
      <c r="D71">
        <v>4</v>
      </c>
      <c r="E71">
        <v>4</v>
      </c>
      <c r="F71">
        <v>4</v>
      </c>
      <c r="G71">
        <v>4</v>
      </c>
      <c r="H71">
        <v>3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3</v>
      </c>
      <c r="Q71">
        <v>4</v>
      </c>
      <c r="R71">
        <v>3.866666666666667</v>
      </c>
      <c r="S7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30.7109375" customWidth="1"/>
  </cols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24</v>
      </c>
      <c r="C2" t="s">
        <v>24</v>
      </c>
      <c r="D2" t="s">
        <v>24</v>
      </c>
      <c r="E2" t="s">
        <v>24</v>
      </c>
    </row>
    <row r="3" spans="1:5">
      <c r="A3" t="s">
        <v>25</v>
      </c>
      <c r="B3" t="s">
        <v>25</v>
      </c>
      <c r="C3" t="s">
        <v>25</v>
      </c>
      <c r="D3" t="s">
        <v>25</v>
      </c>
      <c r="E3" t="s">
        <v>25</v>
      </c>
    </row>
    <row r="4" spans="1:5">
      <c r="A4" t="s">
        <v>26</v>
      </c>
      <c r="B4" t="s">
        <v>26</v>
      </c>
      <c r="C4" t="s">
        <v>26</v>
      </c>
      <c r="D4" t="s">
        <v>26</v>
      </c>
      <c r="E4" t="s">
        <v>26</v>
      </c>
    </row>
    <row r="5" spans="1:5">
      <c r="A5" t="s">
        <v>27</v>
      </c>
      <c r="B5" t="s">
        <v>27</v>
      </c>
      <c r="C5" t="s">
        <v>27</v>
      </c>
      <c r="D5" t="s">
        <v>27</v>
      </c>
      <c r="E5" t="s">
        <v>27</v>
      </c>
    </row>
    <row r="6" spans="1:5">
      <c r="A6" t="s">
        <v>28</v>
      </c>
      <c r="B6" t="s">
        <v>28</v>
      </c>
      <c r="C6" t="s">
        <v>28</v>
      </c>
      <c r="D6" t="s">
        <v>28</v>
      </c>
      <c r="E6" t="s">
        <v>28</v>
      </c>
    </row>
    <row r="7" spans="1:5">
      <c r="A7" t="s">
        <v>29</v>
      </c>
      <c r="B7" t="s">
        <v>29</v>
      </c>
      <c r="C7" t="s">
        <v>29</v>
      </c>
      <c r="D7" t="s">
        <v>29</v>
      </c>
      <c r="E7" t="s">
        <v>29</v>
      </c>
    </row>
    <row r="8" spans="1:5">
      <c r="A8" t="s">
        <v>30</v>
      </c>
      <c r="B8" t="s">
        <v>30</v>
      </c>
      <c r="C8" t="s">
        <v>30</v>
      </c>
      <c r="D8" t="s">
        <v>30</v>
      </c>
      <c r="E8" t="s">
        <v>30</v>
      </c>
    </row>
    <row r="9" spans="1:5">
      <c r="A9" t="s">
        <v>31</v>
      </c>
      <c r="B9" t="s">
        <v>31</v>
      </c>
      <c r="C9" t="s">
        <v>31</v>
      </c>
      <c r="D9" t="s">
        <v>31</v>
      </c>
      <c r="E9" t="s">
        <v>31</v>
      </c>
    </row>
    <row r="10" spans="1:5">
      <c r="A10" t="s">
        <v>32</v>
      </c>
      <c r="B10" t="s">
        <v>32</v>
      </c>
      <c r="C10" t="s">
        <v>32</v>
      </c>
      <c r="D10" t="s">
        <v>32</v>
      </c>
      <c r="E10" t="s">
        <v>32</v>
      </c>
    </row>
    <row r="11" spans="1:5">
      <c r="A11" t="s">
        <v>33</v>
      </c>
      <c r="B11" t="s">
        <v>33</v>
      </c>
      <c r="C11" t="s">
        <v>33</v>
      </c>
      <c r="D11" t="s">
        <v>33</v>
      </c>
      <c r="E11" t="s">
        <v>33</v>
      </c>
    </row>
    <row r="12" spans="1:5">
      <c r="A12" t="s">
        <v>34</v>
      </c>
      <c r="B12" t="s">
        <v>34</v>
      </c>
      <c r="C12" t="s">
        <v>34</v>
      </c>
      <c r="D12" t="s">
        <v>34</v>
      </c>
      <c r="E12" t="s">
        <v>34</v>
      </c>
    </row>
    <row r="13" spans="1:5">
      <c r="A13" t="s">
        <v>35</v>
      </c>
      <c r="B13" t="s">
        <v>35</v>
      </c>
      <c r="C13" t="s">
        <v>35</v>
      </c>
      <c r="D13" t="s">
        <v>35</v>
      </c>
      <c r="E13" t="s">
        <v>35</v>
      </c>
    </row>
    <row r="14" spans="1:5">
      <c r="A14" t="s">
        <v>36</v>
      </c>
      <c r="B14" t="s">
        <v>36</v>
      </c>
      <c r="C14" t="s">
        <v>36</v>
      </c>
      <c r="D14" t="s">
        <v>36</v>
      </c>
      <c r="E14" t="s">
        <v>36</v>
      </c>
    </row>
    <row r="15" spans="1:5">
      <c r="A15" t="s">
        <v>37</v>
      </c>
      <c r="B15" t="s">
        <v>37</v>
      </c>
      <c r="C15" t="s">
        <v>37</v>
      </c>
      <c r="D15" t="s">
        <v>37</v>
      </c>
      <c r="E1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18.7109375" customWidth="1"/>
    <col min="2" max="4" width="8.7109375" customWidth="1"/>
    <col min="5" max="5" width="20.7109375" customWidth="1"/>
  </cols>
  <sheetData>
    <row r="1" spans="1:8">
      <c r="A1" s="2" t="s">
        <v>41</v>
      </c>
      <c r="B1" s="2"/>
      <c r="C1" s="2"/>
      <c r="D1" s="2"/>
      <c r="E1" s="2"/>
      <c r="F1" s="2"/>
      <c r="G1" s="2"/>
      <c r="H1" s="2"/>
    </row>
    <row r="2" spans="1:8">
      <c r="A2" s="3" t="s">
        <v>42</v>
      </c>
    </row>
    <row r="3" spans="1:8">
      <c r="A3" s="3" t="s">
        <v>43</v>
      </c>
    </row>
    <row r="5" spans="1:8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</row>
    <row r="6" spans="1:8">
      <c r="A6" s="5" t="s">
        <v>2</v>
      </c>
      <c r="B6">
        <f>INDEX(Data_Klaster!$C$2:$Q$71, MATCH(1, (Data_Klaster!$A$2:$A$71=$B$2)*(Data_Klaster!$B$2:$B$71=$B$3), 0), 1)</f>
        <v>0</v>
      </c>
      <c r="C6" s="5">
        <v>5</v>
      </c>
      <c r="D6">
        <f>C6-B6</f>
        <v>0</v>
      </c>
      <c r="E6">
        <f>IF(B6&lt;3,"Belum/Akan Berkembang",IF(B6&lt;4,"Sedang Berkembang","Sudah/Sangat Optimal"))</f>
        <v>0</v>
      </c>
    </row>
    <row r="7" spans="1:8">
      <c r="A7" s="5" t="s">
        <v>3</v>
      </c>
      <c r="B7">
        <f>INDEX(Data_Klaster!$C$2:$Q$71, MATCH(1, (Data_Klaster!$A$2:$A$71=$B$2)*(Data_Klaster!$B$2:$B$71=$B$3), 0), 2)</f>
        <v>0</v>
      </c>
      <c r="C7" s="5">
        <v>5</v>
      </c>
      <c r="D7">
        <f>C7-B7</f>
        <v>0</v>
      </c>
      <c r="E7">
        <f>IF(B7&lt;3,"Belum/Akan Berkembang",IF(B7&lt;4,"Sedang Berkembang","Sudah/Sangat Optimal"))</f>
        <v>0</v>
      </c>
    </row>
    <row r="8" spans="1:8">
      <c r="A8" s="5" t="s">
        <v>4</v>
      </c>
      <c r="B8">
        <f>INDEX(Data_Klaster!$C$2:$Q$71, MATCH(1, (Data_Klaster!$A$2:$A$71=$B$2)*(Data_Klaster!$B$2:$B$71=$B$3), 0), 3)</f>
        <v>0</v>
      </c>
      <c r="C8" s="5">
        <v>5</v>
      </c>
      <c r="D8">
        <f>C8-B8</f>
        <v>0</v>
      </c>
      <c r="E8">
        <f>IF(B8&lt;3,"Belum/Akan Berkembang",IF(B8&lt;4,"Sedang Berkembang","Sudah/Sangat Optimal"))</f>
        <v>0</v>
      </c>
    </row>
    <row r="9" spans="1:8">
      <c r="A9" s="5" t="s">
        <v>5</v>
      </c>
      <c r="B9">
        <f>INDEX(Data_Klaster!$C$2:$Q$71, MATCH(1, (Data_Klaster!$A$2:$A$71=$B$2)*(Data_Klaster!$B$2:$B$71=$B$3), 0), 4)</f>
        <v>0</v>
      </c>
      <c r="C9" s="5">
        <v>5</v>
      </c>
      <c r="D9">
        <f>C9-B9</f>
        <v>0</v>
      </c>
      <c r="E9">
        <f>IF(B9&lt;3,"Belum/Akan Berkembang",IF(B9&lt;4,"Sedang Berkembang","Sudah/Sangat Optimal"))</f>
        <v>0</v>
      </c>
    </row>
    <row r="10" spans="1:8">
      <c r="A10" s="5" t="s">
        <v>6</v>
      </c>
      <c r="B10">
        <f>INDEX(Data_Klaster!$C$2:$Q$71, MATCH(1, (Data_Klaster!$A$2:$A$71=$B$2)*(Data_Klaster!$B$2:$B$71=$B$3), 0), 5)</f>
        <v>0</v>
      </c>
      <c r="C10" s="5">
        <v>5</v>
      </c>
      <c r="D10">
        <f>C10-B10</f>
        <v>0</v>
      </c>
      <c r="E10">
        <f>IF(B10&lt;3,"Belum/Akan Berkembang",IF(B10&lt;4,"Sedang Berkembang","Sudah/Sangat Optimal"))</f>
        <v>0</v>
      </c>
    </row>
    <row r="11" spans="1:8">
      <c r="A11" s="5" t="s">
        <v>7</v>
      </c>
      <c r="B11">
        <f>INDEX(Data_Klaster!$C$2:$Q$71, MATCH(1, (Data_Klaster!$A$2:$A$71=$B$2)*(Data_Klaster!$B$2:$B$71=$B$3), 0), 6)</f>
        <v>0</v>
      </c>
      <c r="C11" s="5">
        <v>5</v>
      </c>
      <c r="D11">
        <f>C11-B11</f>
        <v>0</v>
      </c>
      <c r="E11">
        <f>IF(B11&lt;3,"Belum/Akan Berkembang",IF(B11&lt;4,"Sedang Berkembang","Sudah/Sangat Optimal"))</f>
        <v>0</v>
      </c>
    </row>
    <row r="12" spans="1:8">
      <c r="A12" s="5" t="s">
        <v>8</v>
      </c>
      <c r="B12">
        <f>INDEX(Data_Klaster!$C$2:$Q$71, MATCH(1, (Data_Klaster!$A$2:$A$71=$B$2)*(Data_Klaster!$B$2:$B$71=$B$3), 0), 7)</f>
        <v>0</v>
      </c>
      <c r="C12" s="5">
        <v>5</v>
      </c>
      <c r="D12">
        <f>C12-B12</f>
        <v>0</v>
      </c>
      <c r="E12">
        <f>IF(B12&lt;3,"Belum/Akan Berkembang",IF(B12&lt;4,"Sedang Berkembang","Sudah/Sangat Optimal"))</f>
        <v>0</v>
      </c>
    </row>
    <row r="13" spans="1:8">
      <c r="A13" s="5" t="s">
        <v>9</v>
      </c>
      <c r="B13">
        <f>INDEX(Data_Klaster!$C$2:$Q$71, MATCH(1, (Data_Klaster!$A$2:$A$71=$B$2)*(Data_Klaster!$B$2:$B$71=$B$3), 0), 8)</f>
        <v>0</v>
      </c>
      <c r="C13" s="5">
        <v>5</v>
      </c>
      <c r="D13">
        <f>C13-B13</f>
        <v>0</v>
      </c>
      <c r="E13">
        <f>IF(B13&lt;3,"Belum/Akan Berkembang",IF(B13&lt;4,"Sedang Berkembang","Sudah/Sangat Optimal"))</f>
        <v>0</v>
      </c>
    </row>
    <row r="14" spans="1:8">
      <c r="A14" s="5" t="s">
        <v>10</v>
      </c>
      <c r="B14">
        <f>INDEX(Data_Klaster!$C$2:$Q$71, MATCH(1, (Data_Klaster!$A$2:$A$71=$B$2)*(Data_Klaster!$B$2:$B$71=$B$3), 0), 9)</f>
        <v>0</v>
      </c>
      <c r="C14" s="5">
        <v>5</v>
      </c>
      <c r="D14">
        <f>C14-B14</f>
        <v>0</v>
      </c>
      <c r="E14">
        <f>IF(B14&lt;3,"Belum/Akan Berkembang",IF(B14&lt;4,"Sedang Berkembang","Sudah/Sangat Optimal"))</f>
        <v>0</v>
      </c>
    </row>
    <row r="15" spans="1:8">
      <c r="A15" s="5" t="s">
        <v>11</v>
      </c>
      <c r="B15">
        <f>INDEX(Data_Klaster!$C$2:$Q$71, MATCH(1, (Data_Klaster!$A$2:$A$71=$B$2)*(Data_Klaster!$B$2:$B$71=$B$3), 0), 10)</f>
        <v>0</v>
      </c>
      <c r="C15" s="5">
        <v>5</v>
      </c>
      <c r="D15">
        <f>C15-B15</f>
        <v>0</v>
      </c>
      <c r="E15">
        <f>IF(B15&lt;3,"Belum/Akan Berkembang",IF(B15&lt;4,"Sedang Berkembang","Sudah/Sangat Optimal"))</f>
        <v>0</v>
      </c>
    </row>
    <row r="16" spans="1:8">
      <c r="A16" s="5" t="s">
        <v>12</v>
      </c>
      <c r="B16">
        <f>INDEX(Data_Klaster!$C$2:$Q$71, MATCH(1, (Data_Klaster!$A$2:$A$71=$B$2)*(Data_Klaster!$B$2:$B$71=$B$3), 0), 11)</f>
        <v>0</v>
      </c>
      <c r="C16" s="5">
        <v>5</v>
      </c>
      <c r="D16">
        <f>C16-B16</f>
        <v>0</v>
      </c>
      <c r="E16">
        <f>IF(B16&lt;3,"Belum/Akan Berkembang",IF(B16&lt;4,"Sedang Berkembang","Sudah/Sangat Optimal"))</f>
        <v>0</v>
      </c>
    </row>
    <row r="17" spans="1:5">
      <c r="A17" s="5" t="s">
        <v>13</v>
      </c>
      <c r="B17">
        <f>INDEX(Data_Klaster!$C$2:$Q$71, MATCH(1, (Data_Klaster!$A$2:$A$71=$B$2)*(Data_Klaster!$B$2:$B$71=$B$3), 0), 12)</f>
        <v>0</v>
      </c>
      <c r="C17" s="5">
        <v>5</v>
      </c>
      <c r="D17">
        <f>C17-B17</f>
        <v>0</v>
      </c>
      <c r="E17">
        <f>IF(B17&lt;3,"Belum/Akan Berkembang",IF(B17&lt;4,"Sedang Berkembang","Sudah/Sangat Optimal"))</f>
        <v>0</v>
      </c>
    </row>
    <row r="18" spans="1:5">
      <c r="A18" s="5" t="s">
        <v>14</v>
      </c>
      <c r="B18">
        <f>INDEX(Data_Klaster!$C$2:$Q$71, MATCH(1, (Data_Klaster!$A$2:$A$71=$B$2)*(Data_Klaster!$B$2:$B$71=$B$3), 0), 13)</f>
        <v>0</v>
      </c>
      <c r="C18" s="5">
        <v>5</v>
      </c>
      <c r="D18">
        <f>C18-B18</f>
        <v>0</v>
      </c>
      <c r="E18">
        <f>IF(B18&lt;3,"Belum/Akan Berkembang",IF(B18&lt;4,"Sedang Berkembang","Sudah/Sangat Optimal"))</f>
        <v>0</v>
      </c>
    </row>
    <row r="19" spans="1:5">
      <c r="A19" s="5" t="s">
        <v>15</v>
      </c>
      <c r="B19">
        <f>INDEX(Data_Klaster!$C$2:$Q$71, MATCH(1, (Data_Klaster!$A$2:$A$71=$B$2)*(Data_Klaster!$B$2:$B$71=$B$3), 0), 14)</f>
        <v>0</v>
      </c>
      <c r="C19" s="5">
        <v>5</v>
      </c>
      <c r="D19">
        <f>C19-B19</f>
        <v>0</v>
      </c>
      <c r="E19">
        <f>IF(B19&lt;3,"Belum/Akan Berkembang",IF(B19&lt;4,"Sedang Berkembang","Sudah/Sangat Optimal"))</f>
        <v>0</v>
      </c>
    </row>
    <row r="20" spans="1:5">
      <c r="A20" s="5" t="s">
        <v>16</v>
      </c>
      <c r="B20">
        <f>INDEX(Data_Klaster!$C$2:$Q$71, MATCH(1, (Data_Klaster!$A$2:$A$71=$B$2)*(Data_Klaster!$B$2:$B$71=$B$3), 0), 15)</f>
        <v>0</v>
      </c>
      <c r="C20" s="5">
        <v>5</v>
      </c>
      <c r="D20">
        <f>C20-B20</f>
        <v>0</v>
      </c>
      <c r="E20">
        <f>IF(B20&lt;3,"Belum/Akan Berkembang",IF(B20&lt;4,"Sedang Berkembang","Sudah/Sangat Optimal"))</f>
        <v>0</v>
      </c>
    </row>
    <row r="22" spans="1:5">
      <c r="A22" s="3" t="s">
        <v>49</v>
      </c>
      <c r="B22" s="3">
        <f>AVERAGE(B6:B20)</f>
        <v>0</v>
      </c>
    </row>
    <row r="23" spans="1:5">
      <c r="A23" s="3" t="s">
        <v>50</v>
      </c>
      <c r="B23">
        <f>IF(B22&lt;3,"Belum/Akan Berkembang",IF(B22&lt;4,"Sedang Berkembang","Sudah/Sangat Optimal"))</f>
        <v>0</v>
      </c>
    </row>
    <row r="24" spans="1:5">
      <c r="A24" s="3">
        <f>Insight:</f>
        <v>0</v>
      </c>
      <c r="B24">
        <f> "Kategori: "&amp;B23&amp;". "&amp;IF(B23="Belum/Akan Berkembang","Perlu pendampingan dan microlearning lintas klaster.",IF(B23="Sedang Berkembang","Teruskan praktik baik dan kolaborasi lintas bidang.","Sudah sangat optimal – Siap menjadi role model pembelajaran di BBPK Jakarta!"))</f>
        <v>0</v>
      </c>
    </row>
  </sheetData>
  <mergeCells count="1">
    <mergeCell ref="A1:H1"/>
  </mergeCells>
  <conditionalFormatting sqref="B23">
    <cfRule type="cellIs" dxfId="0" priority="4" operator="equal">
      <formula>"Belum/Akan Berkembang"</formula>
    </cfRule>
    <cfRule type="cellIs" dxfId="1" priority="5" operator="equal">
      <formula>"Sedang Berkembang"</formula>
    </cfRule>
    <cfRule type="cellIs" dxfId="2" priority="6" operator="equal">
      <formula>"Sudah/Sangat Optimal"</formula>
    </cfRule>
  </conditionalFormatting>
  <conditionalFormatting sqref="E6:E20">
    <cfRule type="containsText" dxfId="0" priority="1" operator="containsText" text="Belum/Akan Berkembang">
      <formula>NOT(ISERROR(SEARCH("Belum/Akan Berkembang",E6)))</formula>
    </cfRule>
    <cfRule type="containsText" dxfId="1" priority="2" operator="containsText" text="Sedang Berkembang">
      <formula>NOT(ISERROR(SEARCH("Sedang Berkembang",E6)))</formula>
    </cfRule>
    <cfRule type="containsText" dxfId="2" priority="3" operator="containsText" text="Sudah/Sangat Optimal">
      <formula>NOT(ISERROR(SEARCH("Sudah/Sangat Optimal",E6)))</formula>
    </cfRule>
  </conditionalFormatting>
  <dataValidations count="2">
    <dataValidation type="list" allowBlank="1" showInputMessage="1" showErrorMessage="1" sqref="B2">
      <formula1>KlasterList</formula1>
    </dataValidation>
    <dataValidation type="list" allowBlank="1" showInputMessage="1" showErrorMessage="1" sqref="B3">
      <formula1>INDIRECT("List_" &amp; B2)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cols>
    <col min="1" max="4" width="30.7109375" customWidth="1"/>
  </cols>
  <sheetData>
    <row r="1" spans="1:10">
      <c r="A1" s="4" t="s">
        <v>0</v>
      </c>
      <c r="B1" s="4" t="s">
        <v>1</v>
      </c>
      <c r="C1" s="4" t="s">
        <v>17</v>
      </c>
      <c r="D1" s="4" t="s">
        <v>18</v>
      </c>
      <c r="G1" s="3" t="s">
        <v>51</v>
      </c>
    </row>
    <row r="2" spans="1:10">
      <c r="A2" t="s">
        <v>19</v>
      </c>
      <c r="B2" t="s">
        <v>24</v>
      </c>
      <c r="C2">
        <v>2.4</v>
      </c>
      <c r="D2" t="s">
        <v>38</v>
      </c>
      <c r="G2" t="s">
        <v>0</v>
      </c>
      <c r="H2" t="s">
        <v>38</v>
      </c>
      <c r="I2" t="s">
        <v>39</v>
      </c>
      <c r="J2" t="s">
        <v>40</v>
      </c>
    </row>
    <row r="3" spans="1:10">
      <c r="A3" t="s">
        <v>19</v>
      </c>
      <c r="B3" t="s">
        <v>25</v>
      </c>
      <c r="C3">
        <v>3</v>
      </c>
      <c r="D3" t="s">
        <v>39</v>
      </c>
      <c r="G3" t="s">
        <v>19</v>
      </c>
      <c r="H3">
        <v>8</v>
      </c>
      <c r="I3">
        <v>4</v>
      </c>
      <c r="J3">
        <v>2</v>
      </c>
    </row>
    <row r="4" spans="1:10">
      <c r="A4" t="s">
        <v>19</v>
      </c>
      <c r="B4" t="s">
        <v>26</v>
      </c>
      <c r="C4">
        <v>2</v>
      </c>
      <c r="D4" t="s">
        <v>38</v>
      </c>
      <c r="G4" t="s">
        <v>20</v>
      </c>
      <c r="H4">
        <v>8</v>
      </c>
      <c r="I4">
        <v>3</v>
      </c>
      <c r="J4">
        <v>3</v>
      </c>
    </row>
    <row r="5" spans="1:10">
      <c r="A5" t="s">
        <v>19</v>
      </c>
      <c r="B5" t="s">
        <v>27</v>
      </c>
      <c r="C5">
        <v>4.73</v>
      </c>
      <c r="D5" t="s">
        <v>40</v>
      </c>
      <c r="G5" t="s">
        <v>21</v>
      </c>
      <c r="H5">
        <v>8</v>
      </c>
      <c r="I5">
        <v>4</v>
      </c>
      <c r="J5">
        <v>2</v>
      </c>
    </row>
    <row r="6" spans="1:10">
      <c r="A6" t="s">
        <v>19</v>
      </c>
      <c r="B6" t="s">
        <v>28</v>
      </c>
      <c r="C6">
        <v>4.73</v>
      </c>
      <c r="D6" t="s">
        <v>40</v>
      </c>
      <c r="G6" t="s">
        <v>22</v>
      </c>
      <c r="H6">
        <v>10</v>
      </c>
      <c r="I6">
        <v>2</v>
      </c>
      <c r="J6">
        <v>2</v>
      </c>
    </row>
    <row r="7" spans="1:10">
      <c r="A7" t="s">
        <v>19</v>
      </c>
      <c r="B7" t="s">
        <v>29</v>
      </c>
      <c r="C7">
        <v>1.8</v>
      </c>
      <c r="D7" t="s">
        <v>38</v>
      </c>
      <c r="G7" t="s">
        <v>23</v>
      </c>
      <c r="H7">
        <v>11</v>
      </c>
      <c r="I7">
        <v>2</v>
      </c>
      <c r="J7">
        <v>1</v>
      </c>
    </row>
    <row r="8" spans="1:10">
      <c r="A8" t="s">
        <v>19</v>
      </c>
      <c r="B8" t="s">
        <v>30</v>
      </c>
      <c r="C8">
        <v>2.2</v>
      </c>
      <c r="D8" t="s">
        <v>38</v>
      </c>
    </row>
    <row r="9" spans="1:10">
      <c r="A9" t="s">
        <v>19</v>
      </c>
      <c r="B9" t="s">
        <v>31</v>
      </c>
      <c r="C9">
        <v>3.67</v>
      </c>
      <c r="D9" t="s">
        <v>39</v>
      </c>
    </row>
    <row r="10" spans="1:10">
      <c r="A10" t="s">
        <v>19</v>
      </c>
      <c r="B10" t="s">
        <v>32</v>
      </c>
      <c r="C10">
        <v>2.27</v>
      </c>
      <c r="D10" t="s">
        <v>38</v>
      </c>
    </row>
    <row r="11" spans="1:10">
      <c r="A11" t="s">
        <v>19</v>
      </c>
      <c r="B11" t="s">
        <v>33</v>
      </c>
      <c r="C11">
        <v>1.73</v>
      </c>
      <c r="D11" t="s">
        <v>38</v>
      </c>
    </row>
    <row r="12" spans="1:10">
      <c r="A12" t="s">
        <v>19</v>
      </c>
      <c r="B12" t="s">
        <v>34</v>
      </c>
      <c r="C12">
        <v>1.4</v>
      </c>
      <c r="D12" t="s">
        <v>38</v>
      </c>
    </row>
    <row r="13" spans="1:10">
      <c r="A13" t="s">
        <v>19</v>
      </c>
      <c r="B13" t="s">
        <v>35</v>
      </c>
      <c r="C13">
        <v>3</v>
      </c>
      <c r="D13" t="s">
        <v>39</v>
      </c>
    </row>
    <row r="14" spans="1:10">
      <c r="A14" t="s">
        <v>19</v>
      </c>
      <c r="B14" t="s">
        <v>36</v>
      </c>
      <c r="C14">
        <v>2</v>
      </c>
      <c r="D14" t="s">
        <v>38</v>
      </c>
    </row>
    <row r="15" spans="1:10">
      <c r="A15" t="s">
        <v>19</v>
      </c>
      <c r="B15" t="s">
        <v>37</v>
      </c>
      <c r="C15">
        <v>3.47</v>
      </c>
      <c r="D15" t="s">
        <v>39</v>
      </c>
    </row>
    <row r="16" spans="1:10">
      <c r="A16" t="s">
        <v>20</v>
      </c>
      <c r="B16" t="s">
        <v>24</v>
      </c>
      <c r="C16">
        <v>2.27</v>
      </c>
      <c r="D16" t="s">
        <v>38</v>
      </c>
    </row>
    <row r="17" spans="1:8">
      <c r="A17" t="s">
        <v>20</v>
      </c>
      <c r="B17" t="s">
        <v>25</v>
      </c>
      <c r="C17">
        <v>2.93</v>
      </c>
      <c r="D17" t="s">
        <v>38</v>
      </c>
    </row>
    <row r="18" spans="1:8">
      <c r="A18" t="s">
        <v>20</v>
      </c>
      <c r="B18" t="s">
        <v>26</v>
      </c>
      <c r="C18">
        <v>1.87</v>
      </c>
      <c r="D18" t="s">
        <v>38</v>
      </c>
    </row>
    <row r="19" spans="1:8">
      <c r="A19" t="s">
        <v>20</v>
      </c>
      <c r="B19" t="s">
        <v>27</v>
      </c>
      <c r="C19">
        <v>4</v>
      </c>
      <c r="D19" t="s">
        <v>40</v>
      </c>
    </row>
    <row r="20" spans="1:8">
      <c r="A20" t="s">
        <v>20</v>
      </c>
      <c r="B20" t="s">
        <v>28</v>
      </c>
      <c r="C20">
        <v>4.6</v>
      </c>
      <c r="D20" t="s">
        <v>40</v>
      </c>
    </row>
    <row r="21" spans="1:8">
      <c r="A21" t="s">
        <v>20</v>
      </c>
      <c r="B21" t="s">
        <v>29</v>
      </c>
      <c r="C21">
        <v>1.87</v>
      </c>
      <c r="D21" t="s">
        <v>38</v>
      </c>
    </row>
    <row r="22" spans="1:8">
      <c r="A22" t="s">
        <v>20</v>
      </c>
      <c r="B22" t="s">
        <v>30</v>
      </c>
      <c r="C22">
        <v>3.8</v>
      </c>
      <c r="D22" t="s">
        <v>39</v>
      </c>
    </row>
    <row r="23" spans="1:8">
      <c r="A23" t="s">
        <v>20</v>
      </c>
      <c r="B23" t="s">
        <v>31</v>
      </c>
      <c r="C23">
        <v>4.2</v>
      </c>
      <c r="D23" t="s">
        <v>40</v>
      </c>
    </row>
    <row r="24" spans="1:8">
      <c r="A24" t="s">
        <v>20</v>
      </c>
      <c r="B24" t="s">
        <v>32</v>
      </c>
      <c r="C24">
        <v>3.2</v>
      </c>
      <c r="D24" t="s">
        <v>39</v>
      </c>
    </row>
    <row r="25" spans="1:8">
      <c r="A25" t="s">
        <v>20</v>
      </c>
      <c r="B25" t="s">
        <v>33</v>
      </c>
      <c r="C25">
        <v>2.53</v>
      </c>
      <c r="D25" t="s">
        <v>38</v>
      </c>
    </row>
    <row r="26" spans="1:8">
      <c r="A26" t="s">
        <v>20</v>
      </c>
      <c r="B26" t="s">
        <v>34</v>
      </c>
      <c r="C26">
        <v>1.67</v>
      </c>
      <c r="D26" t="s">
        <v>38</v>
      </c>
      <c r="G26" s="3" t="s">
        <v>52</v>
      </c>
    </row>
    <row r="27" spans="1:8">
      <c r="A27" t="s">
        <v>20</v>
      </c>
      <c r="B27" t="s">
        <v>35</v>
      </c>
      <c r="C27">
        <v>1.47</v>
      </c>
      <c r="D27" t="s">
        <v>38</v>
      </c>
      <c r="G27" t="s">
        <v>18</v>
      </c>
      <c r="H27" t="s">
        <v>53</v>
      </c>
    </row>
    <row r="28" spans="1:8">
      <c r="A28" t="s">
        <v>20</v>
      </c>
      <c r="B28" t="s">
        <v>36</v>
      </c>
      <c r="C28">
        <v>1.07</v>
      </c>
      <c r="D28" t="s">
        <v>38</v>
      </c>
      <c r="G28" t="s">
        <v>38</v>
      </c>
      <c r="H28">
        <v>45</v>
      </c>
    </row>
    <row r="29" spans="1:8">
      <c r="A29" t="s">
        <v>20</v>
      </c>
      <c r="B29" t="s">
        <v>37</v>
      </c>
      <c r="C29">
        <v>3.2</v>
      </c>
      <c r="D29" t="s">
        <v>39</v>
      </c>
      <c r="G29" t="s">
        <v>39</v>
      </c>
      <c r="H29">
        <v>15</v>
      </c>
    </row>
    <row r="30" spans="1:8">
      <c r="A30" t="s">
        <v>21</v>
      </c>
      <c r="B30" t="s">
        <v>24</v>
      </c>
      <c r="C30">
        <v>2.07</v>
      </c>
      <c r="D30" t="s">
        <v>38</v>
      </c>
      <c r="G30" t="s">
        <v>40</v>
      </c>
      <c r="H30">
        <v>10</v>
      </c>
    </row>
    <row r="31" spans="1:8">
      <c r="A31" t="s">
        <v>21</v>
      </c>
      <c r="B31" t="s">
        <v>25</v>
      </c>
      <c r="C31">
        <v>3.13</v>
      </c>
      <c r="D31" t="s">
        <v>39</v>
      </c>
    </row>
    <row r="32" spans="1:8">
      <c r="A32" t="s">
        <v>21</v>
      </c>
      <c r="B32" t="s">
        <v>26</v>
      </c>
      <c r="C32">
        <v>1.87</v>
      </c>
      <c r="D32" t="s">
        <v>38</v>
      </c>
    </row>
    <row r="33" spans="1:4">
      <c r="A33" t="s">
        <v>21</v>
      </c>
      <c r="B33" t="s">
        <v>27</v>
      </c>
      <c r="C33">
        <v>4</v>
      </c>
      <c r="D33" t="s">
        <v>40</v>
      </c>
    </row>
    <row r="34" spans="1:4">
      <c r="A34" t="s">
        <v>21</v>
      </c>
      <c r="B34" t="s">
        <v>28</v>
      </c>
      <c r="C34">
        <v>4.47</v>
      </c>
      <c r="D34" t="s">
        <v>40</v>
      </c>
    </row>
    <row r="35" spans="1:4">
      <c r="A35" t="s">
        <v>21</v>
      </c>
      <c r="B35" t="s">
        <v>29</v>
      </c>
      <c r="C35">
        <v>1.13</v>
      </c>
      <c r="D35" t="s">
        <v>38</v>
      </c>
    </row>
    <row r="36" spans="1:4">
      <c r="A36" t="s">
        <v>21</v>
      </c>
      <c r="B36" t="s">
        <v>30</v>
      </c>
      <c r="C36">
        <v>3.27</v>
      </c>
      <c r="D36" t="s">
        <v>39</v>
      </c>
    </row>
    <row r="37" spans="1:4">
      <c r="A37" t="s">
        <v>21</v>
      </c>
      <c r="B37" t="s">
        <v>31</v>
      </c>
      <c r="C37">
        <v>3.47</v>
      </c>
      <c r="D37" t="s">
        <v>39</v>
      </c>
    </row>
    <row r="38" spans="1:4">
      <c r="A38" t="s">
        <v>21</v>
      </c>
      <c r="B38" t="s">
        <v>32</v>
      </c>
      <c r="C38">
        <v>1.87</v>
      </c>
      <c r="D38" t="s">
        <v>38</v>
      </c>
    </row>
    <row r="39" spans="1:4">
      <c r="A39" t="s">
        <v>21</v>
      </c>
      <c r="B39" t="s">
        <v>33</v>
      </c>
      <c r="C39">
        <v>2.13</v>
      </c>
      <c r="D39" t="s">
        <v>38</v>
      </c>
    </row>
    <row r="40" spans="1:4">
      <c r="A40" t="s">
        <v>21</v>
      </c>
      <c r="B40" t="s">
        <v>34</v>
      </c>
      <c r="C40">
        <v>1.07</v>
      </c>
      <c r="D40" t="s">
        <v>38</v>
      </c>
    </row>
    <row r="41" spans="1:4">
      <c r="A41" t="s">
        <v>21</v>
      </c>
      <c r="B41" t="s">
        <v>35</v>
      </c>
      <c r="C41">
        <v>2.67</v>
      </c>
      <c r="D41" t="s">
        <v>38</v>
      </c>
    </row>
    <row r="42" spans="1:4">
      <c r="A42" t="s">
        <v>21</v>
      </c>
      <c r="B42" t="s">
        <v>36</v>
      </c>
      <c r="C42">
        <v>1</v>
      </c>
      <c r="D42" t="s">
        <v>38</v>
      </c>
    </row>
    <row r="43" spans="1:4">
      <c r="A43" t="s">
        <v>21</v>
      </c>
      <c r="B43" t="s">
        <v>37</v>
      </c>
      <c r="C43">
        <v>3.33</v>
      </c>
      <c r="D43" t="s">
        <v>39</v>
      </c>
    </row>
    <row r="44" spans="1:4">
      <c r="A44" t="s">
        <v>22</v>
      </c>
      <c r="B44" t="s">
        <v>24</v>
      </c>
      <c r="C44">
        <v>2.4</v>
      </c>
      <c r="D44" t="s">
        <v>38</v>
      </c>
    </row>
    <row r="45" spans="1:4">
      <c r="A45" t="s">
        <v>22</v>
      </c>
      <c r="B45" t="s">
        <v>25</v>
      </c>
      <c r="C45">
        <v>2.4</v>
      </c>
      <c r="D45" t="s">
        <v>38</v>
      </c>
    </row>
    <row r="46" spans="1:4">
      <c r="A46" t="s">
        <v>22</v>
      </c>
      <c r="B46" t="s">
        <v>26</v>
      </c>
      <c r="C46">
        <v>1.07</v>
      </c>
      <c r="D46" t="s">
        <v>38</v>
      </c>
    </row>
    <row r="47" spans="1:4">
      <c r="A47" t="s">
        <v>22</v>
      </c>
      <c r="B47" t="s">
        <v>27</v>
      </c>
      <c r="C47">
        <v>4</v>
      </c>
      <c r="D47" t="s">
        <v>40</v>
      </c>
    </row>
    <row r="48" spans="1:4">
      <c r="A48" t="s">
        <v>22</v>
      </c>
      <c r="B48" t="s">
        <v>28</v>
      </c>
      <c r="C48">
        <v>4.8</v>
      </c>
      <c r="D48" t="s">
        <v>40</v>
      </c>
    </row>
    <row r="49" spans="1:4">
      <c r="A49" t="s">
        <v>22</v>
      </c>
      <c r="B49" t="s">
        <v>29</v>
      </c>
      <c r="C49">
        <v>1.4</v>
      </c>
      <c r="D49" t="s">
        <v>38</v>
      </c>
    </row>
    <row r="50" spans="1:4">
      <c r="A50" t="s">
        <v>22</v>
      </c>
      <c r="B50" t="s">
        <v>30</v>
      </c>
      <c r="C50">
        <v>2.27</v>
      </c>
      <c r="D50" t="s">
        <v>38</v>
      </c>
    </row>
    <row r="51" spans="1:4">
      <c r="A51" t="s">
        <v>22</v>
      </c>
      <c r="B51" t="s">
        <v>31</v>
      </c>
      <c r="C51">
        <v>3.27</v>
      </c>
      <c r="D51" t="s">
        <v>39</v>
      </c>
    </row>
    <row r="52" spans="1:4">
      <c r="A52" t="s">
        <v>22</v>
      </c>
      <c r="B52" t="s">
        <v>32</v>
      </c>
      <c r="C52">
        <v>1.8</v>
      </c>
      <c r="D52" t="s">
        <v>38</v>
      </c>
    </row>
    <row r="53" spans="1:4">
      <c r="A53" t="s">
        <v>22</v>
      </c>
      <c r="B53" t="s">
        <v>33</v>
      </c>
      <c r="C53">
        <v>2.6</v>
      </c>
      <c r="D53" t="s">
        <v>38</v>
      </c>
    </row>
    <row r="54" spans="1:4">
      <c r="A54" t="s">
        <v>22</v>
      </c>
      <c r="B54" t="s">
        <v>34</v>
      </c>
      <c r="C54">
        <v>1</v>
      </c>
      <c r="D54" t="s">
        <v>38</v>
      </c>
    </row>
    <row r="55" spans="1:4">
      <c r="A55" t="s">
        <v>22</v>
      </c>
      <c r="B55" t="s">
        <v>35</v>
      </c>
      <c r="C55">
        <v>1.53</v>
      </c>
      <c r="D55" t="s">
        <v>38</v>
      </c>
    </row>
    <row r="56" spans="1:4">
      <c r="A56" t="s">
        <v>22</v>
      </c>
      <c r="B56" t="s">
        <v>36</v>
      </c>
      <c r="C56">
        <v>1</v>
      </c>
      <c r="D56" t="s">
        <v>38</v>
      </c>
    </row>
    <row r="57" spans="1:4">
      <c r="A57" t="s">
        <v>22</v>
      </c>
      <c r="B57" t="s">
        <v>37</v>
      </c>
      <c r="C57">
        <v>3.33</v>
      </c>
      <c r="D57" t="s">
        <v>39</v>
      </c>
    </row>
    <row r="58" spans="1:4">
      <c r="A58" t="s">
        <v>23</v>
      </c>
      <c r="B58" t="s">
        <v>24</v>
      </c>
      <c r="C58">
        <v>1.33</v>
      </c>
      <c r="D58" t="s">
        <v>38</v>
      </c>
    </row>
    <row r="59" spans="1:4">
      <c r="A59" t="s">
        <v>23</v>
      </c>
      <c r="B59" t="s">
        <v>25</v>
      </c>
      <c r="C59">
        <v>2.27</v>
      </c>
      <c r="D59" t="s">
        <v>38</v>
      </c>
    </row>
    <row r="60" spans="1:4">
      <c r="A60" t="s">
        <v>23</v>
      </c>
      <c r="B60" t="s">
        <v>26</v>
      </c>
      <c r="C60">
        <v>1</v>
      </c>
      <c r="D60" t="s">
        <v>38</v>
      </c>
    </row>
    <row r="61" spans="1:4">
      <c r="A61" t="s">
        <v>23</v>
      </c>
      <c r="B61" t="s">
        <v>27</v>
      </c>
      <c r="C61">
        <v>4.4</v>
      </c>
      <c r="D61" t="s">
        <v>40</v>
      </c>
    </row>
    <row r="62" spans="1:4">
      <c r="A62" t="s">
        <v>23</v>
      </c>
      <c r="B62" t="s">
        <v>28</v>
      </c>
      <c r="C62">
        <v>3.87</v>
      </c>
      <c r="D62" t="s">
        <v>39</v>
      </c>
    </row>
    <row r="63" spans="1:4">
      <c r="A63" t="s">
        <v>23</v>
      </c>
      <c r="B63" t="s">
        <v>29</v>
      </c>
      <c r="C63">
        <v>1.53</v>
      </c>
      <c r="D63" t="s">
        <v>38</v>
      </c>
    </row>
    <row r="64" spans="1:4">
      <c r="A64" t="s">
        <v>23</v>
      </c>
      <c r="B64" t="s">
        <v>30</v>
      </c>
      <c r="C64">
        <v>2.47</v>
      </c>
      <c r="D64" t="s">
        <v>38</v>
      </c>
    </row>
    <row r="65" spans="1:4">
      <c r="A65" t="s">
        <v>23</v>
      </c>
      <c r="B65" t="s">
        <v>31</v>
      </c>
      <c r="C65">
        <v>2.07</v>
      </c>
      <c r="D65" t="s">
        <v>38</v>
      </c>
    </row>
    <row r="66" spans="1:4">
      <c r="A66" t="s">
        <v>23</v>
      </c>
      <c r="B66" t="s">
        <v>32</v>
      </c>
      <c r="C66">
        <v>1.33</v>
      </c>
      <c r="D66" t="s">
        <v>38</v>
      </c>
    </row>
    <row r="67" spans="1:4">
      <c r="A67" t="s">
        <v>23</v>
      </c>
      <c r="B67" t="s">
        <v>33</v>
      </c>
      <c r="C67">
        <v>1.13</v>
      </c>
      <c r="D67" t="s">
        <v>38</v>
      </c>
    </row>
    <row r="68" spans="1:4">
      <c r="A68" t="s">
        <v>23</v>
      </c>
      <c r="B68" t="s">
        <v>34</v>
      </c>
      <c r="C68">
        <v>1</v>
      </c>
      <c r="D68" t="s">
        <v>38</v>
      </c>
    </row>
    <row r="69" spans="1:4">
      <c r="A69" t="s">
        <v>23</v>
      </c>
      <c r="B69" t="s">
        <v>35</v>
      </c>
      <c r="C69">
        <v>1.53</v>
      </c>
      <c r="D69" t="s">
        <v>38</v>
      </c>
    </row>
    <row r="70" spans="1:4">
      <c r="A70" t="s">
        <v>23</v>
      </c>
      <c r="B70" t="s">
        <v>36</v>
      </c>
      <c r="C70">
        <v>1</v>
      </c>
      <c r="D70" t="s">
        <v>38</v>
      </c>
    </row>
    <row r="71" spans="1:4">
      <c r="A71" t="s">
        <v>23</v>
      </c>
      <c r="B71" t="s">
        <v>37</v>
      </c>
      <c r="C71">
        <v>3.87</v>
      </c>
      <c r="D7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Data_Klaster</vt:lpstr>
      <vt:lpstr>Lists</vt:lpstr>
      <vt:lpstr>Dashboard_Interaktif</vt:lpstr>
      <vt:lpstr>Rekap_Tim</vt:lpstr>
      <vt:lpstr>KlasterList</vt:lpstr>
      <vt:lpstr>List_Klaster1</vt:lpstr>
      <vt:lpstr>List_Klaster2</vt:lpstr>
      <vt:lpstr>List_Klaster3</vt:lpstr>
      <vt:lpstr>List_Klaster4</vt:lpstr>
      <vt:lpstr>List_LintasKlaster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2025-11-05T19:27:59Z</dcterms:created>
  <dcterms:modified xsi:type="dcterms:W3CDTF">2025-11-05T19:27:59Z</dcterms:modified>
</cp:coreProperties>
</file>